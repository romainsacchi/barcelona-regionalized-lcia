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xmlns:r="http://schemas.openxmlformats.org/officeDocument/2006/relationships" name="readme" sheetId="1" state="visible" r:id="rId1"/>
    <sheet xmlns:r="http://schemas.openxmlformats.org/officeDocument/2006/relationships" name="lci" sheetId="2" state="visible" r:id="rId2"/>
    <sheet xmlns:r="http://schemas.openxmlformats.org/officeDocument/2006/relationships" name="Final specifications" sheetId="3" state="visible" r:id="rId3"/>
    <sheet xmlns:r="http://schemas.openxmlformats.org/officeDocument/2006/relationships" name="Manufacturers' data" sheetId="4" state="visible" r:id="rId4"/>
  </sheets>
  <definedNames>
    <definedName name="lifeprod_aec">'Final specifications'!$B$17</definedName>
    <definedName name="lifeprod_pem">'Final specifications'!$C$17</definedName>
    <definedName name="lifeprod_soec">'Final specifications'!$D$17</definedName>
    <definedName name="lifetime_aec">'Final specifications'!$B$7</definedName>
    <definedName name="lifetime_pem">'Final specifications'!$C$7</definedName>
    <definedName name="lifetime_soec">'Final specifications'!$D$7</definedName>
  </definedNames>
  <calcPr calcId="191029" fullCalcOnLoad="1"/>
</workbook>
</file>

<file path=xl/styles.xml><?xml version="1.0" encoding="utf-8"?>
<styleSheet xmlns="http://schemas.openxmlformats.org/spreadsheetml/2006/main">
  <numFmts count="3">
    <numFmt numFmtId="164" formatCode="0.0000"/>
    <numFmt numFmtId="165" formatCode="0.0"/>
    <numFmt numFmtId="166" formatCode="0.000"/>
  </numFmts>
  <fonts count="15">
    <font>
      <name val="Calibri"/>
      <family val="2"/>
      <color theme="1"/>
      <sz val="11"/>
      <scheme val="minor"/>
    </font>
    <font>
      <name val="Calibri"/>
      <family val="2"/>
      <color theme="1"/>
      <sz val="11"/>
      <scheme val="minor"/>
    </font>
    <font>
      <name val="Calibri"/>
      <family val="2"/>
      <b val="1"/>
      <color theme="1"/>
      <sz val="11"/>
      <scheme val="minor"/>
    </font>
    <font>
      <name val="Arial"/>
      <family val="2"/>
      <color theme="1"/>
      <sz val="10"/>
    </font>
    <font>
      <name val="Calibri"/>
      <family val="2"/>
      <color rgb="FF9C5700"/>
      <sz val="11"/>
      <scheme val="minor"/>
    </font>
    <font>
      <name val="Calibri"/>
      <family val="2"/>
      <b val="1"/>
      <color theme="1"/>
      <sz val="12"/>
      <scheme val="minor"/>
    </font>
    <font>
      <name val="Calibri (Body)"/>
      <b val="1"/>
      <sz val="12"/>
    </font>
    <font>
      <name val="Calibri (Body)"/>
      <sz val="12"/>
    </font>
    <font>
      <name val="Calibri"/>
      <family val="2"/>
      <sz val="12"/>
      <scheme val="minor"/>
    </font>
    <font>
      <name val="Arial"/>
      <family val="2"/>
      <color theme="1"/>
      <sz val="11"/>
    </font>
    <font>
      <name val="Arial"/>
      <family val="2"/>
      <b val="1"/>
      <color theme="1"/>
      <sz val="10"/>
    </font>
    <font>
      <name val="Arial"/>
      <family val="2"/>
      <color rgb="FF000000"/>
      <sz val="10"/>
    </font>
    <font>
      <name val="Arial"/>
      <family val="2"/>
      <b val="1"/>
      <color theme="1"/>
      <sz val="10"/>
      <vertAlign val="subscript"/>
    </font>
    <font>
      <name val="Arial"/>
      <family val="2"/>
      <b val="1"/>
      <color rgb="FF000000"/>
      <sz val="10"/>
    </font>
    <font>
      <name val="Arial"/>
      <family val="2"/>
      <b val="1"/>
      <color rgb="FF000000"/>
      <sz val="10"/>
      <vertAlign val="subscript"/>
    </font>
  </fonts>
  <fills count="9">
    <fill>
      <patternFill/>
    </fill>
    <fill>
      <patternFill patternType="gray125"/>
    </fill>
    <fill>
      <patternFill patternType="solid">
        <fgColor rgb="FFFFEB9C"/>
      </patternFill>
    </fill>
    <fill>
      <patternFill patternType="solid">
        <fgColor theme="7" tint="0.7999816888943144"/>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rgb="FFFFFF00"/>
        <bgColor indexed="64"/>
      </patternFill>
    </fill>
    <fill>
      <patternFill patternType="solid">
        <fgColor theme="5" tint="0.7999816888943144"/>
        <bgColor indexed="64"/>
      </patternFill>
    </fill>
    <fill>
      <patternFill patternType="solid">
        <fgColor rgb="FFFF0000"/>
        <bgColor indexed="64"/>
      </patternFill>
    </fill>
  </fills>
  <borders count="17">
    <border>
      <left/>
      <right/>
      <top/>
      <bottom/>
      <diagonal/>
    </border>
    <border>
      <left/>
      <right style="thin">
        <color indexed="64"/>
      </right>
      <top/>
      <bottom/>
      <diagonal/>
    </border>
    <border>
      <left style="medium">
        <color rgb="FF999999"/>
      </left>
      <right style="medium">
        <color rgb="FF999999"/>
      </right>
      <top style="medium">
        <color rgb="FF999999"/>
      </top>
      <bottom style="thick">
        <color rgb="FF666666"/>
      </bottom>
      <diagonal/>
    </border>
    <border>
      <left/>
      <right style="medium">
        <color rgb="FF999999"/>
      </right>
      <top style="medium">
        <color rgb="FF999999"/>
      </top>
      <bottom style="thick">
        <color rgb="FF666666"/>
      </bottom>
      <diagonal/>
    </border>
    <border>
      <left style="medium">
        <color rgb="FF999999"/>
      </left>
      <right style="medium">
        <color rgb="FF999999"/>
      </right>
      <top/>
      <bottom style="medium">
        <color rgb="FF999999"/>
      </bottom>
      <diagonal/>
    </border>
    <border>
      <left/>
      <right style="medium">
        <color rgb="FF999999"/>
      </right>
      <top/>
      <bottom style="medium">
        <color rgb="FF999999"/>
      </bottom>
      <diagonal/>
    </border>
    <border>
      <left style="medium">
        <color rgb="FF999999"/>
      </left>
      <right/>
      <top style="thick">
        <color rgb="FF666666"/>
      </top>
      <bottom style="medium">
        <color rgb="FF999999"/>
      </bottom>
      <diagonal/>
    </border>
    <border>
      <left/>
      <right style="medium">
        <color rgb="FF999999"/>
      </right>
      <top style="thick">
        <color rgb="FF666666"/>
      </top>
      <bottom style="medium">
        <color rgb="FF999999"/>
      </bottom>
      <diagonal/>
    </border>
    <border>
      <left style="medium">
        <color rgb="FF999999"/>
      </left>
      <right/>
      <top style="medium">
        <color rgb="FF999999"/>
      </top>
      <bottom style="medium">
        <color rgb="FF999999"/>
      </bottom>
      <diagonal/>
    </border>
    <border>
      <left/>
      <right style="medium">
        <color rgb="FF999999"/>
      </right>
      <top style="medium">
        <color rgb="FF999999"/>
      </top>
      <bottom style="medium">
        <color rgb="FF999999"/>
      </bottom>
      <diagonal/>
    </border>
    <border>
      <left/>
      <right/>
      <top style="medium">
        <color rgb="FF999999"/>
      </top>
      <bottom style="medium">
        <color rgb="FF999999"/>
      </bottom>
      <diagonal/>
    </border>
    <border>
      <left style="medium">
        <color rgb="FF999999"/>
      </left>
      <right style="medium">
        <color rgb="FF999999"/>
      </right>
      <top style="medium">
        <color rgb="FF999999"/>
      </top>
      <bottom style="medium">
        <color rgb="FF999999"/>
      </bottom>
      <diagonal/>
    </border>
    <border>
      <left/>
      <right/>
      <top style="medium">
        <color rgb="FF999999"/>
      </top>
      <bottom/>
      <diagonal/>
    </border>
    <border>
      <left/>
      <right style="medium">
        <color rgb="FF999999"/>
      </right>
      <top style="medium">
        <color rgb="FF999999"/>
      </top>
      <bottom/>
      <diagonal/>
    </border>
    <border>
      <left style="medium">
        <color rgb="FF999999"/>
      </left>
      <right style="medium">
        <color rgb="FF999999"/>
      </right>
      <top style="thick">
        <color rgb="FF666666"/>
      </top>
      <bottom style="medium">
        <color rgb="FF999999"/>
      </bottom>
      <diagonal/>
    </border>
    <border>
      <left/>
      <right/>
      <top style="thick">
        <color rgb="FF666666"/>
      </top>
      <bottom/>
      <diagonal/>
    </border>
    <border>
      <left/>
      <right style="medium">
        <color rgb="FF999999"/>
      </right>
      <top style="thick">
        <color rgb="FF666666"/>
      </top>
      <bottom/>
      <diagonal/>
    </border>
  </borders>
  <cellStyleXfs count="6">
    <xf numFmtId="0" fontId="1" fillId="0" borderId="0"/>
    <xf numFmtId="0" fontId="1" fillId="0" borderId="0"/>
    <xf numFmtId="0" fontId="1" fillId="0" borderId="0"/>
    <xf numFmtId="0" fontId="3" fillId="0" borderId="0"/>
    <xf numFmtId="0" fontId="4" fillId="2" borderId="0"/>
    <xf numFmtId="9" fontId="1" fillId="0" borderId="0"/>
  </cellStyleXfs>
  <cellXfs count="113">
    <xf numFmtId="0" fontId="0" fillId="0" borderId="0" pivotButton="0" quotePrefix="0" xfId="0"/>
    <xf numFmtId="0" fontId="2" fillId="0" borderId="0" pivotButton="0" quotePrefix="0" xfId="1"/>
    <xf numFmtId="0" fontId="1" fillId="0" borderId="0" pivotButton="0" quotePrefix="0" xfId="1"/>
    <xf numFmtId="0" fontId="1" fillId="0" borderId="0" pivotButton="0" quotePrefix="0" xfId="0"/>
    <xf numFmtId="0" fontId="0" fillId="0" borderId="1" pivotButton="0" quotePrefix="0" xfId="0"/>
    <xf numFmtId="0" fontId="1" fillId="0" borderId="1" pivotButton="0" quotePrefix="0" xfId="1"/>
    <xf numFmtId="0" fontId="5" fillId="0" borderId="0" pivotButton="0" quotePrefix="0" xfId="0"/>
    <xf numFmtId="0" fontId="7" fillId="0" borderId="0" pivotButton="0" quotePrefix="0" xfId="2"/>
    <xf numFmtId="0" fontId="7" fillId="0" borderId="0" pivotButton="0" quotePrefix="0" xfId="0"/>
    <xf numFmtId="2" fontId="7" fillId="0" borderId="0" pivotButton="0" quotePrefix="0" xfId="0"/>
    <xf numFmtId="0" fontId="6" fillId="0" borderId="0" pivotButton="0" quotePrefix="0" xfId="0"/>
    <xf numFmtId="2" fontId="5" fillId="0" borderId="0" pivotButton="0" quotePrefix="0" xfId="0"/>
    <xf numFmtId="2" fontId="0" fillId="0" borderId="0" pivotButton="0" quotePrefix="0" xfId="0"/>
    <xf numFmtId="2" fontId="7" fillId="0" borderId="0" applyAlignment="1" pivotButton="0" quotePrefix="0" xfId="1">
      <alignment wrapText="1"/>
    </xf>
    <xf numFmtId="2" fontId="7" fillId="0" borderId="0" pivotButton="0" quotePrefix="1" xfId="2"/>
    <xf numFmtId="2" fontId="7" fillId="0" borderId="0" pivotButton="0" quotePrefix="0" xfId="2"/>
    <xf numFmtId="0" fontId="5" fillId="0" borderId="0" applyAlignment="1" pivotButton="0" quotePrefix="0" xfId="0">
      <alignment horizontal="left" vertical="center" wrapText="1"/>
    </xf>
    <xf numFmtId="164" fontId="0" fillId="0" borderId="0" pivotButton="0" quotePrefix="0" xfId="0"/>
    <xf numFmtId="165" fontId="0" fillId="0" borderId="0" pivotButton="0" quotePrefix="0" xfId="0"/>
    <xf numFmtId="166" fontId="0" fillId="0" borderId="0" pivotButton="0" quotePrefix="0" xfId="0"/>
    <xf numFmtId="2" fontId="0" fillId="0" borderId="0" pivotButton="0" quotePrefix="0" xfId="5"/>
    <xf numFmtId="0" fontId="9" fillId="0" borderId="2" applyAlignment="1" pivotButton="0" quotePrefix="0" xfId="0">
      <alignment vertical="top"/>
    </xf>
    <xf numFmtId="0" fontId="10" fillId="0" borderId="3" applyAlignment="1" pivotButton="0" quotePrefix="0" xfId="0">
      <alignment vertical="center"/>
    </xf>
    <xf numFmtId="0" fontId="10" fillId="0" borderId="3" applyAlignment="1" pivotButton="0" quotePrefix="0" xfId="0">
      <alignment vertical="center" wrapText="1"/>
    </xf>
    <xf numFmtId="0" fontId="3" fillId="0" borderId="5" applyAlignment="1" pivotButton="0" quotePrefix="0" xfId="0">
      <alignment vertical="center" wrapText="1"/>
    </xf>
    <xf numFmtId="0" fontId="3" fillId="0" borderId="5" applyAlignment="1" pivotButton="0" quotePrefix="0" xfId="0">
      <alignment vertical="center"/>
    </xf>
    <xf numFmtId="0" fontId="11" fillId="0" borderId="5" applyAlignment="1" pivotButton="0" quotePrefix="0" xfId="0">
      <alignment vertical="center" wrapText="1"/>
    </xf>
    <xf numFmtId="0" fontId="10" fillId="0" borderId="4" applyAlignment="1" pivotButton="0" quotePrefix="0" xfId="0">
      <alignment vertical="center"/>
    </xf>
    <xf numFmtId="10" fontId="3" fillId="0" borderId="5" applyAlignment="1" pivotButton="0" quotePrefix="0" xfId="0">
      <alignment vertical="center"/>
    </xf>
    <xf numFmtId="9" fontId="11" fillId="0" borderId="5" applyAlignment="1" pivotButton="0" quotePrefix="0" xfId="0">
      <alignment vertical="center" wrapText="1"/>
    </xf>
    <xf numFmtId="0" fontId="11" fillId="0" borderId="5" applyAlignment="1" pivotButton="0" quotePrefix="0" xfId="0">
      <alignment vertical="center"/>
    </xf>
    <xf numFmtId="0" fontId="9" fillId="0" borderId="5" applyAlignment="1" pivotButton="0" quotePrefix="0" xfId="0">
      <alignment vertical="center"/>
    </xf>
    <xf numFmtId="0" fontId="10" fillId="0" borderId="4" applyAlignment="1" pivotButton="0" quotePrefix="0" xfId="0">
      <alignment vertical="center" wrapText="1"/>
    </xf>
    <xf numFmtId="0" fontId="6" fillId="4" borderId="0" pivotButton="0" quotePrefix="0" xfId="1"/>
    <xf numFmtId="0" fontId="7" fillId="4" borderId="0" pivotButton="0" quotePrefix="0" xfId="2"/>
    <xf numFmtId="0" fontId="7" fillId="4" borderId="0" pivotButton="0" quotePrefix="0" xfId="0"/>
    <xf numFmtId="0" fontId="7" fillId="4" borderId="0" pivotButton="0" quotePrefix="0" xfId="1"/>
    <xf numFmtId="11" fontId="7" fillId="4" borderId="0" pivotButton="0" quotePrefix="0" xfId="0"/>
    <xf numFmtId="0" fontId="6" fillId="4" borderId="0" pivotButton="0" quotePrefix="0" xfId="0"/>
    <xf numFmtId="0" fontId="8" fillId="4" borderId="0" pivotButton="0" quotePrefix="0" xfId="0"/>
    <xf numFmtId="0" fontId="7" fillId="4" borderId="0" pivotButton="0" quotePrefix="0" xfId="4"/>
    <xf numFmtId="0" fontId="7" fillId="4" borderId="0" pivotButton="0" quotePrefix="0" xfId="4"/>
    <xf numFmtId="0" fontId="7" fillId="4" borderId="0" pivotButton="0" quotePrefix="0" xfId="4"/>
    <xf numFmtId="11" fontId="7" fillId="4" borderId="0" pivotButton="0" quotePrefix="0" xfId="4"/>
    <xf numFmtId="2" fontId="7" fillId="4" borderId="0" pivotButton="0" quotePrefix="0" xfId="0"/>
    <xf numFmtId="2" fontId="7" fillId="4" borderId="0" pivotButton="0" quotePrefix="0" xfId="4"/>
    <xf numFmtId="0" fontId="6" fillId="4" borderId="0" pivotButton="0" quotePrefix="0" xfId="2"/>
    <xf numFmtId="0" fontId="7" fillId="4" borderId="1" pivotButton="0" quotePrefix="0" xfId="2"/>
    <xf numFmtId="0" fontId="7" fillId="4" borderId="0" applyAlignment="1" pivotButton="0" quotePrefix="0" xfId="0">
      <alignment horizontal="left" vertical="center"/>
    </xf>
    <xf numFmtId="0" fontId="6" fillId="3" borderId="0" pivotButton="0" quotePrefix="0" xfId="1"/>
    <xf numFmtId="0" fontId="7" fillId="3" borderId="0" pivotButton="0" quotePrefix="0" xfId="0"/>
    <xf numFmtId="0" fontId="7" fillId="3" borderId="0" pivotButton="0" quotePrefix="0" xfId="2"/>
    <xf numFmtId="0" fontId="7" fillId="3" borderId="0" pivotButton="0" quotePrefix="0" xfId="1"/>
    <xf numFmtId="11" fontId="7" fillId="3" borderId="0" pivotButton="0" quotePrefix="0" xfId="0"/>
    <xf numFmtId="0" fontId="6" fillId="3" borderId="0" pivotButton="0" quotePrefix="0" xfId="0"/>
    <xf numFmtId="0" fontId="6" fillId="3" borderId="0" pivotButton="0" quotePrefix="0" xfId="2"/>
    <xf numFmtId="2" fontId="7" fillId="3" borderId="0" pivotButton="0" quotePrefix="0" xfId="0"/>
    <xf numFmtId="0" fontId="8" fillId="3" borderId="0" pivotButton="0" quotePrefix="0" xfId="0"/>
    <xf numFmtId="0" fontId="7" fillId="3" borderId="0" pivotButton="0" quotePrefix="0" xfId="4"/>
    <xf numFmtId="0" fontId="7" fillId="3" borderId="0" pivotButton="0" quotePrefix="0" xfId="4"/>
    <xf numFmtId="0" fontId="7" fillId="3" borderId="0" pivotButton="0" quotePrefix="0" xfId="4"/>
    <xf numFmtId="0" fontId="7" fillId="3" borderId="1" pivotButton="0" quotePrefix="0" xfId="2"/>
    <xf numFmtId="0" fontId="7" fillId="3" borderId="0" applyAlignment="1" pivotButton="0" quotePrefix="0" xfId="0">
      <alignment horizontal="left" vertical="center"/>
    </xf>
    <xf numFmtId="0" fontId="6" fillId="5" borderId="0" pivotButton="0" quotePrefix="0" xfId="1"/>
    <xf numFmtId="0" fontId="7" fillId="5" borderId="0" pivotButton="0" quotePrefix="0" xfId="0"/>
    <xf numFmtId="0" fontId="7" fillId="5" borderId="0" pivotButton="0" quotePrefix="0" xfId="2"/>
    <xf numFmtId="0" fontId="7" fillId="5" borderId="0" pivotButton="0" quotePrefix="0" xfId="1"/>
    <xf numFmtId="11" fontId="7" fillId="5" borderId="0" pivotButton="0" quotePrefix="0" xfId="0"/>
    <xf numFmtId="0" fontId="6" fillId="5" borderId="0" pivotButton="0" quotePrefix="0" xfId="0"/>
    <xf numFmtId="0" fontId="6" fillId="5" borderId="0" pivotButton="0" quotePrefix="0" xfId="2"/>
    <xf numFmtId="2" fontId="7" fillId="5" borderId="0" pivotButton="0" quotePrefix="0" xfId="0"/>
    <xf numFmtId="0" fontId="8" fillId="5" borderId="0" pivotButton="0" quotePrefix="0" xfId="0"/>
    <xf numFmtId="0" fontId="7" fillId="5" borderId="0" pivotButton="0" quotePrefix="0" xfId="4"/>
    <xf numFmtId="0" fontId="7" fillId="5" borderId="0" pivotButton="0" quotePrefix="0" xfId="4"/>
    <xf numFmtId="0" fontId="7" fillId="5" borderId="0" pivotButton="0" quotePrefix="0" xfId="4"/>
    <xf numFmtId="0" fontId="0" fillId="6" borderId="0" pivotButton="0" quotePrefix="0" xfId="0"/>
    <xf numFmtId="0" fontId="2" fillId="7" borderId="0" pivotButton="0" quotePrefix="0" xfId="1"/>
    <xf numFmtId="1" fontId="0" fillId="0" borderId="0" pivotButton="0" quotePrefix="0" xfId="0"/>
    <xf numFmtId="0" fontId="2" fillId="8" borderId="0" pivotButton="0" quotePrefix="0" xfId="0"/>
    <xf numFmtId="2" fontId="7" fillId="4" borderId="0" applyAlignment="1" pivotButton="0" quotePrefix="0" xfId="1">
      <alignment horizontal="left"/>
    </xf>
    <xf numFmtId="2" fontId="2" fillId="7" borderId="0" pivotButton="0" quotePrefix="0" xfId="1"/>
    <xf numFmtId="2" fontId="2" fillId="0" borderId="0" pivotButton="0" quotePrefix="0" xfId="1"/>
    <xf numFmtId="2" fontId="6" fillId="4" borderId="0" pivotButton="0" quotePrefix="0" xfId="0"/>
    <xf numFmtId="2" fontId="7" fillId="4" borderId="0" pivotButton="0" quotePrefix="0" xfId="2"/>
    <xf numFmtId="2" fontId="6" fillId="3" borderId="0" pivotButton="0" quotePrefix="0" xfId="0"/>
    <xf numFmtId="2" fontId="7" fillId="3" borderId="0" applyAlignment="1" pivotButton="0" quotePrefix="0" xfId="1">
      <alignment horizontal="left"/>
    </xf>
    <xf numFmtId="2" fontId="7" fillId="3" borderId="0" pivotButton="0" quotePrefix="0" xfId="4"/>
    <xf numFmtId="2" fontId="7" fillId="3" borderId="0" pivotButton="0" quotePrefix="0" xfId="2"/>
    <xf numFmtId="2" fontId="6" fillId="5" borderId="0" pivotButton="0" quotePrefix="0" xfId="0"/>
    <xf numFmtId="2" fontId="7" fillId="5" borderId="0" applyAlignment="1" pivotButton="0" quotePrefix="0" xfId="1">
      <alignment horizontal="left"/>
    </xf>
    <xf numFmtId="2" fontId="7" fillId="5" borderId="0" pivotButton="0" quotePrefix="0" xfId="4"/>
    <xf numFmtId="2" fontId="2" fillId="0" borderId="0" pivotButton="0" quotePrefix="0" xfId="0"/>
    <xf numFmtId="11" fontId="7" fillId="6" borderId="0" pivotButton="0" quotePrefix="0" xfId="0"/>
    <xf numFmtId="0" fontId="7" fillId="6" borderId="0" pivotButton="0" quotePrefix="0" xfId="0"/>
    <xf numFmtId="0" fontId="3" fillId="0" borderId="8" applyAlignment="1" pivotButton="0" quotePrefix="0" xfId="0">
      <alignment vertical="center"/>
    </xf>
    <xf numFmtId="0" fontId="3" fillId="0" borderId="10" applyAlignment="1" pivotButton="0" quotePrefix="0" xfId="0">
      <alignment vertical="center"/>
    </xf>
    <xf numFmtId="0" fontId="3" fillId="0" borderId="9" applyAlignment="1" pivotButton="0" quotePrefix="0" xfId="0">
      <alignment vertical="center"/>
    </xf>
    <xf numFmtId="0" fontId="3" fillId="0" borderId="6" applyAlignment="1" pivotButton="0" quotePrefix="0" xfId="0">
      <alignment vertical="center" wrapText="1"/>
    </xf>
    <xf numFmtId="0" fontId="3" fillId="0" borderId="7" applyAlignment="1" pivotButton="0" quotePrefix="0" xfId="0">
      <alignment vertical="center" wrapText="1"/>
    </xf>
    <xf numFmtId="0" fontId="3" fillId="0" borderId="8" applyAlignment="1" pivotButton="0" quotePrefix="0" xfId="0">
      <alignment vertical="center" wrapText="1"/>
    </xf>
    <xf numFmtId="0" fontId="3" fillId="0" borderId="9" applyAlignment="1" pivotButton="0" quotePrefix="0" xfId="0">
      <alignment vertical="center" wrapText="1"/>
    </xf>
    <xf numFmtId="0" fontId="9" fillId="0" borderId="8" applyAlignment="1" pivotButton="0" quotePrefix="0" xfId="0">
      <alignment vertical="center"/>
    </xf>
    <xf numFmtId="0" fontId="9" fillId="0" borderId="9" applyAlignment="1" pivotButton="0" quotePrefix="0" xfId="0">
      <alignment vertical="center"/>
    </xf>
    <xf numFmtId="0" fontId="11" fillId="0" borderId="8" applyAlignment="1" pivotButton="0" quotePrefix="0" xfId="0">
      <alignment vertical="center"/>
    </xf>
    <xf numFmtId="0" fontId="11" fillId="0" borderId="9" applyAlignment="1" pivotButton="0" quotePrefix="0" xfId="0">
      <alignment vertical="center"/>
    </xf>
    <xf numFmtId="0" fontId="3" fillId="0" borderId="14" applyAlignment="1" pivotButton="0" quotePrefix="0" xfId="0">
      <alignment vertical="center" wrapText="1"/>
    </xf>
    <xf numFmtId="0" fontId="0" fillId="0" borderId="7" pivotButton="0" quotePrefix="0" xfId="0"/>
    <xf numFmtId="0" fontId="3" fillId="0" borderId="11" applyAlignment="1" pivotButton="0" quotePrefix="0" xfId="0">
      <alignment vertical="center" wrapText="1"/>
    </xf>
    <xf numFmtId="0" fontId="0" fillId="0" borderId="9" pivotButton="0" quotePrefix="0" xfId="0"/>
    <xf numFmtId="0" fontId="3" fillId="0" borderId="11" applyAlignment="1" pivotButton="0" quotePrefix="0" xfId="0">
      <alignment vertical="center"/>
    </xf>
    <xf numFmtId="0" fontId="0" fillId="0" borderId="10" pivotButton="0" quotePrefix="0" xfId="0"/>
    <xf numFmtId="0" fontId="9" fillId="0" borderId="11" applyAlignment="1" pivotButton="0" quotePrefix="0" xfId="0">
      <alignment vertical="center"/>
    </xf>
    <xf numFmtId="0" fontId="11" fillId="0" borderId="11" applyAlignment="1" pivotButton="0" quotePrefix="0" xfId="0">
      <alignment vertical="center"/>
    </xf>
  </cellXfs>
  <cellStyles count="6">
    <cellStyle name="Normal" xfId="0" builtinId="0"/>
    <cellStyle name="Normal 11 3" xfId="1"/>
    <cellStyle name="Normal 2" xfId="2"/>
    <cellStyle name="Normal 3" xfId="3"/>
    <cellStyle name="Neutral" xfId="4" builtinId="28"/>
    <cellStyle name="Percent" xfId="5"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B21" sqref="B21"/>
    </sheetView>
  </sheetViews>
  <sheetFormatPr baseColWidth="8" defaultRowHeight="14.4"/>
  <cols>
    <col width="92" bestFit="1" customWidth="1" min="2" max="2"/>
    <col width="74.33203125" bestFit="1" customWidth="1" min="3" max="3"/>
  </cols>
  <sheetData>
    <row r="1">
      <c r="A1" s="75" t="inlineStr">
        <is>
          <t>skip</t>
        </is>
      </c>
    </row>
    <row r="3">
      <c r="B3" t="inlineStr">
        <is>
          <t xml:space="preserve">This inventory has been taken from the additional premise inventories. </t>
        </is>
      </c>
    </row>
    <row r="5">
      <c r="B5" t="inlineStr">
        <is>
          <t>https://github.com/polca/premise/tree/master/premise/data/additional_inventories</t>
        </is>
      </c>
    </row>
    <row r="7">
      <c r="B7" t="inlineStr">
        <is>
          <t xml:space="preserve">It has been downloaded in April 2024. </t>
        </is>
      </c>
    </row>
    <row r="9">
      <c r="B9" t="inlineStr">
        <is>
          <t>This inventory models hydrogen production from electrolysis with PEM, AEC and SOEC electrolysers.</t>
        </is>
      </c>
    </row>
    <row r="11">
      <c r="B11" t="inlineStr">
        <is>
          <t>It contains the following datasets:</t>
        </is>
      </c>
    </row>
    <row r="13">
      <c r="B13" s="91">
        <f>lci!B4</f>
        <v/>
      </c>
      <c r="C13" s="91">
        <f>lci!B185</f>
        <v/>
      </c>
      <c r="D13" s="91">
        <f>lci!B346</f>
        <v/>
      </c>
    </row>
    <row r="14">
      <c r="B14" s="12">
        <f>lci!B24</f>
        <v/>
      </c>
      <c r="C14" s="12">
        <f>lci!B206</f>
        <v/>
      </c>
      <c r="D14" s="12">
        <f>lci!B367</f>
        <v/>
      </c>
    </row>
    <row r="15">
      <c r="B15" s="12">
        <f>lci!B49</f>
        <v/>
      </c>
      <c r="C15" s="12">
        <f>lci!B223</f>
        <v/>
      </c>
      <c r="D15" s="12">
        <f>lci!B393</f>
        <v/>
      </c>
    </row>
    <row r="16">
      <c r="B16" s="12">
        <f>lci!B64</f>
        <v/>
      </c>
      <c r="C16" s="12">
        <f>lci!B235</f>
        <v/>
      </c>
      <c r="D16" s="12">
        <f>lci!B404</f>
        <v/>
      </c>
    </row>
    <row r="17">
      <c r="B17" s="12">
        <f>lci!B122</f>
        <v/>
      </c>
      <c r="C17" s="12">
        <f>lci!B304</f>
        <v/>
      </c>
      <c r="D17" s="12">
        <f>lci!B478</f>
        <v/>
      </c>
    </row>
    <row r="18">
      <c r="B18" s="12">
        <f>lci!B144</f>
        <v/>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U498"/>
  <sheetViews>
    <sheetView tabSelected="1" zoomScale="70" zoomScaleNormal="70" workbookViewId="0">
      <selection activeCell="A2" sqref="A2"/>
    </sheetView>
  </sheetViews>
  <sheetFormatPr baseColWidth="8" defaultColWidth="8.88671875" defaultRowHeight="14.4"/>
  <cols>
    <col width="68.5546875" customWidth="1" min="1" max="1"/>
    <col width="40.88671875" customWidth="1" style="12" min="2" max="2"/>
    <col width="33.44140625" bestFit="1" customWidth="1" min="3" max="3"/>
    <col width="17.109375" customWidth="1" min="4" max="4"/>
    <col width="24.33203125" bestFit="1" customWidth="1" min="5" max="5"/>
    <col width="26.44140625" customWidth="1" min="6" max="6"/>
    <col width="14.88671875" bestFit="1" customWidth="1" min="7" max="7"/>
    <col width="14.88671875" customWidth="1" min="8" max="8"/>
    <col width="56.44140625" customWidth="1" min="9" max="9"/>
    <col width="99.109375" customWidth="1" style="4" min="10" max="10"/>
    <col width="31" customWidth="1" min="11" max="11"/>
  </cols>
  <sheetData>
    <row r="1">
      <c r="A1" t="inlineStr">
        <is>
          <t>cutoff</t>
        </is>
      </c>
      <c r="B1" s="77" t="n">
        <v>9</v>
      </c>
    </row>
    <row r="2">
      <c r="A2" s="76" t="inlineStr">
        <is>
          <t>Database</t>
        </is>
      </c>
      <c r="B2" s="80" t="inlineStr">
        <is>
          <t>h2_electrolysis</t>
        </is>
      </c>
      <c r="C2" s="2" t="n"/>
      <c r="D2" s="2" t="n"/>
      <c r="E2" s="2" t="n"/>
      <c r="F2" s="2" t="n"/>
      <c r="G2" s="2" t="n"/>
      <c r="H2" s="2" t="n"/>
      <c r="I2" s="2" t="n"/>
      <c r="J2" s="5" t="n"/>
      <c r="L2" s="3" t="n"/>
    </row>
    <row r="3">
      <c r="A3" s="1" t="n"/>
      <c r="B3" s="81" t="n"/>
      <c r="C3" s="2" t="n"/>
      <c r="D3" s="2" t="n"/>
      <c r="E3" s="2" t="n"/>
      <c r="F3" s="2" t="n"/>
      <c r="G3" s="2" t="n"/>
      <c r="H3" s="2" t="n"/>
      <c r="I3" s="2" t="n"/>
      <c r="J3" s="5" t="n"/>
      <c r="L3" s="3" t="n"/>
    </row>
    <row r="4" ht="15.6" customFormat="1" customHeight="1" s="8">
      <c r="A4" s="33" t="inlineStr">
        <is>
          <t>Activity</t>
        </is>
      </c>
      <c r="B4" s="82" t="inlineStr">
        <is>
          <t>hydrogen production, gaseous, 30 bar, from PEM electrolysis, from grid electricity</t>
        </is>
      </c>
      <c r="C4" s="35" t="n"/>
      <c r="D4" s="34" t="n"/>
      <c r="E4" s="35" t="n"/>
      <c r="F4" s="35" t="n"/>
      <c r="G4" s="35" t="n"/>
      <c r="H4" s="35" t="n"/>
      <c r="I4" s="35" t="n"/>
      <c r="L4" s="9" t="n"/>
      <c r="M4" s="9" t="n"/>
      <c r="N4" s="9" t="n"/>
      <c r="O4" s="9" t="n"/>
      <c r="P4" s="9" t="n"/>
      <c r="Q4" s="9" t="n"/>
    </row>
    <row r="5" ht="15" customFormat="1" customHeight="1" s="8">
      <c r="A5" s="36" t="inlineStr">
        <is>
          <t>production amount</t>
        </is>
      </c>
      <c r="B5" s="79" t="n">
        <v>1</v>
      </c>
      <c r="C5" s="35" t="n"/>
      <c r="D5" s="35" t="n"/>
      <c r="E5" s="35" t="n"/>
      <c r="F5" s="35" t="n"/>
      <c r="G5" s="35" t="n"/>
      <c r="H5" s="35" t="n"/>
      <c r="I5" s="35" t="n"/>
      <c r="L5" s="9" t="n"/>
      <c r="M5" s="9" t="n"/>
      <c r="N5" s="9" t="n"/>
      <c r="O5" s="9" t="n"/>
      <c r="P5" s="9" t="n"/>
      <c r="Q5" s="9" t="n"/>
    </row>
    <row r="6" ht="15" customFormat="1" customHeight="1" s="8">
      <c r="A6" s="36" t="inlineStr">
        <is>
          <t>comment</t>
        </is>
      </c>
      <c r="B6" s="79" t="inlineStr">
        <is>
          <t>1 kg H2 produced using a PEM electrolyzer. Original source: 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t>
        </is>
      </c>
      <c r="C6" s="35" t="n"/>
      <c r="D6" s="35" t="n"/>
      <c r="E6" s="35" t="n"/>
      <c r="F6" s="35" t="n"/>
      <c r="G6" s="35" t="n"/>
      <c r="H6" s="35" t="n"/>
      <c r="I6" s="35" t="n"/>
      <c r="L6" s="9" t="n"/>
      <c r="M6" s="9" t="n"/>
      <c r="N6" s="9" t="n"/>
      <c r="O6" s="9" t="n"/>
      <c r="P6" s="9" t="n"/>
      <c r="Q6" s="9" t="n"/>
    </row>
    <row r="7" ht="15" customFormat="1" customHeight="1" s="8">
      <c r="A7" s="36" t="inlineStr">
        <is>
          <t>reference product</t>
        </is>
      </c>
      <c r="B7" s="45" t="inlineStr">
        <is>
          <t>hydrogen, gaseous, 30 bar</t>
        </is>
      </c>
      <c r="C7" s="35" t="n"/>
      <c r="D7" s="35" t="n"/>
      <c r="E7" s="35" t="n"/>
      <c r="F7" s="35" t="n"/>
      <c r="G7" s="35" t="n"/>
      <c r="H7" s="35" t="n"/>
      <c r="I7" s="35" t="n"/>
      <c r="L7" s="9" t="n"/>
      <c r="M7" s="9" t="n"/>
      <c r="N7" s="9" t="n"/>
      <c r="O7" s="9" t="n"/>
      <c r="P7" s="9" t="n"/>
      <c r="Q7" s="9" t="n"/>
    </row>
    <row r="8" ht="15" customFormat="1" customHeight="1" s="8">
      <c r="A8" s="36" t="inlineStr">
        <is>
          <t>location</t>
        </is>
      </c>
      <c r="B8" s="79" t="inlineStr">
        <is>
          <t>RER</t>
        </is>
      </c>
      <c r="C8" s="35" t="n"/>
      <c r="D8" s="35" t="n"/>
      <c r="E8" s="35" t="n"/>
      <c r="F8" s="35" t="n"/>
      <c r="G8" s="35" t="n"/>
      <c r="H8" s="35" t="n"/>
      <c r="I8" s="35" t="n"/>
      <c r="L8" s="9" t="n"/>
      <c r="M8" s="9" t="n"/>
      <c r="N8" s="9" t="n"/>
      <c r="O8" s="9" t="n"/>
      <c r="P8" s="9" t="n"/>
      <c r="Q8" s="9" t="n"/>
    </row>
    <row r="9" ht="15.6" customFormat="1" customHeight="1" s="8">
      <c r="A9" s="36" t="inlineStr">
        <is>
          <t>unit</t>
        </is>
      </c>
      <c r="B9" s="44" t="inlineStr">
        <is>
          <t>kilogram</t>
        </is>
      </c>
      <c r="C9" s="35" t="n"/>
      <c r="D9" s="35" t="n"/>
      <c r="E9" s="35" t="n"/>
      <c r="F9" s="35" t="n"/>
      <c r="G9" s="35" t="n"/>
      <c r="H9" s="35" t="n"/>
      <c r="I9" s="38" t="n"/>
      <c r="J9" s="10" t="n"/>
      <c r="K9" s="10" t="n"/>
      <c r="L9" s="9" t="n"/>
      <c r="M9" s="9" t="n"/>
      <c r="N9" s="9" t="n"/>
      <c r="O9" s="9" t="n"/>
      <c r="P9" s="9" t="n"/>
      <c r="Q9" s="9" t="n"/>
    </row>
    <row r="10" ht="15.6" customFormat="1" customHeight="1" s="8">
      <c r="A10" s="38" t="inlineStr">
        <is>
          <t>Exchanges</t>
        </is>
      </c>
      <c r="B10" s="82" t="n"/>
      <c r="C10" s="38" t="n"/>
      <c r="D10" s="38" t="n"/>
      <c r="E10" s="38" t="n"/>
      <c r="F10" s="38" t="n"/>
      <c r="G10" s="38" t="n"/>
      <c r="H10" s="38" t="n"/>
      <c r="I10" s="34" t="n"/>
      <c r="J10" s="7" t="n"/>
      <c r="K10" s="7" t="n"/>
      <c r="L10" s="9" t="n"/>
      <c r="M10" s="9" t="n"/>
      <c r="N10" s="9" t="n"/>
      <c r="O10" s="9" t="n"/>
      <c r="P10" s="9" t="n"/>
      <c r="Q10" s="9" t="n"/>
    </row>
    <row r="11" ht="15.6" customFormat="1" customHeight="1" s="8">
      <c r="A11" s="38" t="inlineStr">
        <is>
          <t>name</t>
        </is>
      </c>
      <c r="B11" s="82" t="inlineStr">
        <is>
          <t>amount</t>
        </is>
      </c>
      <c r="C11" s="38" t="inlineStr">
        <is>
          <t>reference product</t>
        </is>
      </c>
      <c r="D11" s="38" t="inlineStr">
        <is>
          <t>location</t>
        </is>
      </c>
      <c r="E11" s="38" t="inlineStr">
        <is>
          <t>unit</t>
        </is>
      </c>
      <c r="F11" s="38" t="inlineStr">
        <is>
          <t>categories</t>
        </is>
      </c>
      <c r="G11" s="38" t="inlineStr">
        <is>
          <t>type</t>
        </is>
      </c>
      <c r="H11" s="38" t="inlineStr">
        <is>
          <t>database</t>
        </is>
      </c>
      <c r="I11" s="38" t="inlineStr">
        <is>
          <t>comment</t>
        </is>
      </c>
      <c r="J11" s="10" t="n"/>
      <c r="K11" s="6" t="n"/>
      <c r="L11" s="11" t="n"/>
      <c r="M11" s="11" t="n"/>
      <c r="N11" s="11" t="n"/>
      <c r="O11" s="11" t="n"/>
      <c r="P11" s="11" t="n"/>
      <c r="Q11" s="11" t="n"/>
      <c r="R11" s="6" t="n"/>
      <c r="S11" s="6" t="n"/>
      <c r="T11" s="10" t="n"/>
      <c r="U11" s="6" t="n"/>
    </row>
    <row r="12" ht="15.6" customFormat="1" customHeight="1" s="8">
      <c r="A12" s="37" t="inlineStr">
        <is>
          <t>hydrogen production, gaseous, 30 bar, from PEM electrolysis, from grid electricity</t>
        </is>
      </c>
      <c r="B12" s="44" t="n">
        <v>1</v>
      </c>
      <c r="C12" s="37" t="inlineStr">
        <is>
          <t>hydrogen, gaseous, 30 bar</t>
        </is>
      </c>
      <c r="D12" s="92" t="inlineStr">
        <is>
          <t>RER</t>
        </is>
      </c>
      <c r="E12" s="37" t="inlineStr">
        <is>
          <t>kilogram</t>
        </is>
      </c>
      <c r="F12" s="34" t="n"/>
      <c r="G12" s="35" t="inlineStr">
        <is>
          <t>production</t>
        </is>
      </c>
      <c r="H12" s="37" t="inlineStr">
        <is>
          <t>h2_electrolysis</t>
        </is>
      </c>
      <c r="I12" s="34" t="n"/>
      <c r="J12" s="7" t="n"/>
      <c r="L12" s="9" t="n"/>
      <c r="M12" s="9" t="n"/>
      <c r="N12" s="9" t="n"/>
      <c r="O12" s="9" t="n"/>
      <c r="P12" s="9" t="n"/>
      <c r="Q12" s="9" t="n"/>
    </row>
    <row r="13" ht="15.6" customFormat="1" customHeight="1" s="8">
      <c r="A13" s="37" t="inlineStr">
        <is>
          <t>electrolyzer production, 1MWe, PEM, Stack</t>
        </is>
      </c>
      <c r="B13" s="37" t="n">
        <v>1.349892008639309e-06</v>
      </c>
      <c r="C13" s="35" t="inlineStr">
        <is>
          <t>electrolyzer, 1MWe, PEM, Stack</t>
        </is>
      </c>
      <c r="D13" s="35" t="inlineStr">
        <is>
          <t>RER</t>
        </is>
      </c>
      <c r="E13" s="35" t="inlineStr">
        <is>
          <t>unit</t>
        </is>
      </c>
      <c r="F13" s="35" t="n"/>
      <c r="G13" s="35" t="inlineStr">
        <is>
          <t>technosphere</t>
        </is>
      </c>
      <c r="H13" s="37" t="inlineStr">
        <is>
          <t>h2_electrolysis</t>
        </is>
      </c>
      <c r="I13" s="35" t="inlineStr">
        <is>
          <t>Stack, 5.5 years lifetime.</t>
        </is>
      </c>
      <c r="L13" s="12" t="n"/>
      <c r="M13" s="12" t="n"/>
      <c r="N13" s="12" t="n"/>
      <c r="O13" s="12" t="n"/>
      <c r="P13" s="12" t="n"/>
      <c r="Q13" s="12" t="n"/>
    </row>
    <row r="14" ht="15.6" customFormat="1" customHeight="1" s="8">
      <c r="A14" s="37" t="inlineStr">
        <is>
          <t>electrolyzer production, 1MWe, PEM, Balance of Plant</t>
        </is>
      </c>
      <c r="B14" s="37" t="n">
        <v>3.374730021598272e-07</v>
      </c>
      <c r="C14" s="35" t="inlineStr">
        <is>
          <t>electrolyzer, 1MWe, PEM, Balance of Plant</t>
        </is>
      </c>
      <c r="D14" s="35" t="inlineStr">
        <is>
          <t>RER</t>
        </is>
      </c>
      <c r="E14" s="35" t="inlineStr">
        <is>
          <t>unit</t>
        </is>
      </c>
      <c r="F14" s="35" t="n"/>
      <c r="G14" s="35" t="inlineStr">
        <is>
          <t>technosphere</t>
        </is>
      </c>
      <c r="H14" s="37" t="inlineStr">
        <is>
          <t>h2_electrolysis</t>
        </is>
      </c>
      <c r="I14" s="35" t="inlineStr">
        <is>
          <t>BoP, 20 years lifetime.</t>
        </is>
      </c>
      <c r="L14" s="12" t="n"/>
      <c r="M14" s="12" t="n"/>
      <c r="N14" s="12" t="n"/>
      <c r="O14" s="12" t="n"/>
      <c r="P14" s="12" t="n"/>
      <c r="Q14" s="12" t="n"/>
    </row>
    <row r="15" ht="15.6" customFormat="1" customHeight="1" s="8">
      <c r="A15" s="37" t="inlineStr">
        <is>
          <t>treatment of fuel cell stack, 1MWe, PEM</t>
        </is>
      </c>
      <c r="B15" s="37" t="n">
        <v>-1.349892008639309e-06</v>
      </c>
      <c r="C15" s="35" t="inlineStr">
        <is>
          <t>used fuel cell stack, 1MWe, PEM</t>
        </is>
      </c>
      <c r="D15" s="35" t="inlineStr">
        <is>
          <t>RER</t>
        </is>
      </c>
      <c r="E15" s="35" t="inlineStr">
        <is>
          <t>unit</t>
        </is>
      </c>
      <c r="F15" s="35" t="n"/>
      <c r="G15" s="35" t="inlineStr">
        <is>
          <t>technosphere</t>
        </is>
      </c>
      <c r="H15" s="37" t="inlineStr">
        <is>
          <t>h2_electrolysis</t>
        </is>
      </c>
      <c r="I15" s="35" t="inlineStr">
        <is>
          <t>Stack EoL</t>
        </is>
      </c>
      <c r="K15" s="78" t="inlineStr">
        <is>
          <t xml:space="preserve">These columns have been used for something. But I don't want BW to read them in - they are not in the correct format for BW, but I still want to keep that information. </t>
        </is>
      </c>
      <c r="L15" s="12" t="n"/>
      <c r="M15" s="12" t="n"/>
      <c r="N15" s="12" t="n"/>
      <c r="O15" s="12" t="n"/>
      <c r="P15" s="12" t="n"/>
      <c r="Q15" s="12" t="n"/>
    </row>
    <row r="16" ht="15.6" customFormat="1" customHeight="1" s="8">
      <c r="A16" s="37" t="inlineStr">
        <is>
          <t>treatment of fuel cell balance of plant, 1MWe, PEM</t>
        </is>
      </c>
      <c r="B16" s="37" t="n">
        <v>-3.374730021598272e-07</v>
      </c>
      <c r="C16" s="35" t="inlineStr">
        <is>
          <t>used fuel cell balance of plant, 1MWe, PEM</t>
        </is>
      </c>
      <c r="D16" s="35" t="inlineStr">
        <is>
          <t>RER</t>
        </is>
      </c>
      <c r="E16" s="35" t="inlineStr">
        <is>
          <t>unit</t>
        </is>
      </c>
      <c r="F16" s="35" t="n"/>
      <c r="G16" s="35" t="inlineStr">
        <is>
          <t>technosphere</t>
        </is>
      </c>
      <c r="H16" s="37" t="inlineStr">
        <is>
          <t>h2_electrolysis</t>
        </is>
      </c>
      <c r="I16" s="35" t="inlineStr">
        <is>
          <t>BoP EoL</t>
        </is>
      </c>
      <c r="K16" s="78" t="inlineStr">
        <is>
          <t>In cell A1 and A2, I tell BW to ignore any column &gt; 9 from the left.</t>
        </is>
      </c>
      <c r="L16" s="12" t="n"/>
      <c r="M16" s="12" t="n"/>
      <c r="N16" s="12" t="n"/>
      <c r="O16" s="12" t="n"/>
      <c r="P16" s="12" t="n"/>
      <c r="Q16" s="12" t="n"/>
    </row>
    <row r="17" ht="15.6" customFormat="1" customHeight="1" s="8">
      <c r="A17" s="36" t="inlineStr">
        <is>
          <t>Electricity, low voltage, at grid</t>
        </is>
      </c>
      <c r="B17" s="44" t="n">
        <v>54</v>
      </c>
      <c r="C17" s="35" t="inlineStr">
        <is>
          <t>Electricity, low voltage, at grid</t>
        </is>
      </c>
      <c r="D17" s="35" t="inlineStr">
        <is>
          <t>RER</t>
        </is>
      </c>
      <c r="E17" s="35" t="inlineStr">
        <is>
          <t>kilowatt hour</t>
        </is>
      </c>
      <c r="F17" s="34" t="n"/>
      <c r="G17" s="35" t="inlineStr">
        <is>
          <t>technosphere</t>
        </is>
      </c>
      <c r="H17" s="35" t="inlineStr">
        <is>
          <t>bafu</t>
        </is>
      </c>
      <c r="I17" s="34" t="inlineStr">
        <is>
          <t>Electricity consumption with 61.7% eff.</t>
        </is>
      </c>
      <c r="K17" s="34" t="inlineStr">
        <is>
          <t xml:space="preserve">Note that this has nothing to do with the system model "cut off" from ecoinvent. </t>
        </is>
      </c>
      <c r="L17" s="12" t="n"/>
      <c r="M17" s="12" t="n"/>
      <c r="N17" s="12" t="n"/>
      <c r="O17" s="12" t="n"/>
      <c r="P17" s="12" t="n"/>
      <c r="Q17" s="12" t="n"/>
    </row>
    <row r="18" ht="15.6" customFormat="1" customHeight="1" s="8">
      <c r="A18" s="36" t="inlineStr">
        <is>
          <t>Water, deionised, at plant</t>
        </is>
      </c>
      <c r="B18" s="44" t="n">
        <v>14</v>
      </c>
      <c r="C18" s="35" t="inlineStr">
        <is>
          <t>Water, deionised, at plant</t>
        </is>
      </c>
      <c r="D18" s="35" t="inlineStr">
        <is>
          <t>CH</t>
        </is>
      </c>
      <c r="E18" s="35" t="inlineStr">
        <is>
          <t>kilogram</t>
        </is>
      </c>
      <c r="F18" s="35" t="n"/>
      <c r="G18" s="35" t="inlineStr">
        <is>
          <t>technosphere</t>
        </is>
      </c>
      <c r="H18" s="35" t="inlineStr">
        <is>
          <t>bafu</t>
        </is>
      </c>
      <c r="I18" s="39" t="inlineStr">
        <is>
          <t xml:space="preserve">A perfect reaction of H2O results in 1 kg H2 and 8 kg O2, and needs 9 kg H2O, however, considering some losses we assume 14 kg H2O (Simoes et al., 2021). </t>
        </is>
      </c>
      <c r="L18" s="12" t="n"/>
      <c r="M18" s="12" t="n"/>
      <c r="N18" s="12" t="n"/>
      <c r="O18" s="12" t="n"/>
      <c r="P18" s="12" t="n"/>
      <c r="Q18" s="12" t="n"/>
    </row>
    <row r="19" ht="15.6" customFormat="1" customHeight="1" s="8">
      <c r="A19" s="42" t="inlineStr">
        <is>
          <t>Oxygen</t>
        </is>
      </c>
      <c r="B19" s="45" t="n">
        <v>8</v>
      </c>
      <c r="C19" s="42" t="n"/>
      <c r="D19" s="42" t="n"/>
      <c r="E19" s="42" t="inlineStr">
        <is>
          <t>kilogram</t>
        </is>
      </c>
      <c r="F19" s="42" t="inlineStr">
        <is>
          <t>air</t>
        </is>
      </c>
      <c r="G19" s="42" t="inlineStr">
        <is>
          <t>biosphere</t>
        </is>
      </c>
      <c r="H19" s="35" t="inlineStr">
        <is>
          <t>biosphere3</t>
        </is>
      </c>
      <c r="I19" s="42" t="n"/>
      <c r="L19" s="12" t="n"/>
      <c r="M19" s="12" t="n"/>
      <c r="N19" s="12" t="n"/>
      <c r="O19" s="12" t="n"/>
      <c r="P19" s="12" t="n"/>
      <c r="Q19" s="12" t="n"/>
      <c r="R19" s="12" t="n"/>
    </row>
    <row r="20" ht="15.6" customFormat="1" customHeight="1" s="8">
      <c r="A20" s="42" t="inlineStr">
        <is>
          <t>Occupation, industrial area</t>
        </is>
      </c>
      <c r="B20" s="43" t="n">
        <v>0.000607451403887689</v>
      </c>
      <c r="C20" s="35" t="n"/>
      <c r="D20" s="42" t="n"/>
      <c r="E20" s="42" t="inlineStr">
        <is>
          <t>square meter-year</t>
        </is>
      </c>
      <c r="F20" s="42" t="inlineStr">
        <is>
          <t>natural resource::land</t>
        </is>
      </c>
      <c r="G20" s="42" t="inlineStr">
        <is>
          <t>biosphere</t>
        </is>
      </c>
      <c r="H20" s="35" t="inlineStr">
        <is>
          <t>biosphere3</t>
        </is>
      </c>
      <c r="I20" s="42" t="inlineStr">
        <is>
          <t>Electrolyser land footprint: (0.09 [m2/kW]*1000[kW/MW])/(2963200[kg H2 per lifetime]/20[years])</t>
        </is>
      </c>
      <c r="K20" s="8" t="n">
        <v>2</v>
      </c>
      <c r="L20" t="n">
        <v>-7.406238379549741</v>
      </c>
      <c r="M20" s="12" t="n">
        <v>1.05</v>
      </c>
      <c r="N20" s="12" t="n">
        <v>1.1</v>
      </c>
      <c r="O20" s="12" t="n">
        <v>1</v>
      </c>
      <c r="P20" s="12" t="n">
        <v>1.02</v>
      </c>
      <c r="Q20" s="12" t="n">
        <v>1.2</v>
      </c>
      <c r="R20" s="12" t="n">
        <v>1.2</v>
      </c>
      <c r="S20" s="12" t="n">
        <v>1.5</v>
      </c>
      <c r="T20" t="n">
        <v>0.2463437174856263</v>
      </c>
    </row>
    <row r="21" ht="15.6" customFormat="1" customHeight="1" s="8">
      <c r="A21" s="42" t="inlineStr">
        <is>
          <t>Transformation, from industrial area</t>
        </is>
      </c>
      <c r="B21" s="43" t="n">
        <v>3.037257019438445e-05</v>
      </c>
      <c r="C21" s="35" t="n"/>
      <c r="D21" s="42" t="n"/>
      <c r="E21" s="42" t="inlineStr">
        <is>
          <t>square meter</t>
        </is>
      </c>
      <c r="F21" s="42" t="inlineStr">
        <is>
          <t>natural resource::land</t>
        </is>
      </c>
      <c r="G21" s="42" t="inlineStr">
        <is>
          <t>biosphere</t>
        </is>
      </c>
      <c r="H21" s="35" t="inlineStr">
        <is>
          <t>biosphere3</t>
        </is>
      </c>
      <c r="I21" s="42" t="inlineStr">
        <is>
          <t>Electrolyser land transformation: (0.09 [m2/kW]*1000 [kW/MW])/2963200 [kg H2]</t>
        </is>
      </c>
      <c r="K21" s="8" t="n">
        <v>2</v>
      </c>
      <c r="L21" t="n">
        <v>-10.40197065310373</v>
      </c>
      <c r="M21" s="12" t="n">
        <v>1.05</v>
      </c>
      <c r="N21" s="12" t="n">
        <v>1.1</v>
      </c>
      <c r="O21" s="12" t="n">
        <v>1</v>
      </c>
      <c r="P21" s="12" t="n">
        <v>1.02</v>
      </c>
      <c r="Q21" s="12" t="n">
        <v>1.2</v>
      </c>
      <c r="R21" s="12" t="n">
        <v>1.2</v>
      </c>
      <c r="S21" s="12" t="n">
        <v>1.5</v>
      </c>
      <c r="T21" t="n">
        <v>0.2463437174856263</v>
      </c>
    </row>
    <row r="22" ht="15.6" customFormat="1" customHeight="1" s="8">
      <c r="A22" s="42" t="inlineStr">
        <is>
          <t>Transformation, to industrial area</t>
        </is>
      </c>
      <c r="B22" s="43" t="n">
        <v>3.037257019438445e-05</v>
      </c>
      <c r="C22" s="35" t="n"/>
      <c r="D22" s="42" t="n"/>
      <c r="E22" s="42" t="inlineStr">
        <is>
          <t>square meter</t>
        </is>
      </c>
      <c r="F22" s="42" t="inlineStr">
        <is>
          <t>natural resource::land</t>
        </is>
      </c>
      <c r="G22" s="42" t="inlineStr">
        <is>
          <t>biosphere</t>
        </is>
      </c>
      <c r="H22" s="35" t="inlineStr">
        <is>
          <t>biosphere3</t>
        </is>
      </c>
      <c r="I22" s="42" t="inlineStr">
        <is>
          <t>Electrolyser land transformation: (0.09 [m2/kW]*1000 [kW/MW])/2963200 [kg H2]</t>
        </is>
      </c>
      <c r="K22" s="8" t="n">
        <v>2</v>
      </c>
      <c r="L22" t="n">
        <v>-10.40197065310373</v>
      </c>
      <c r="M22" s="12" t="n">
        <v>1.05</v>
      </c>
      <c r="N22" s="12" t="n">
        <v>1.1</v>
      </c>
      <c r="O22" s="12" t="n">
        <v>1</v>
      </c>
      <c r="P22" s="12" t="n">
        <v>1.02</v>
      </c>
      <c r="Q22" s="12" t="n">
        <v>1.2</v>
      </c>
      <c r="R22" s="12" t="n">
        <v>1.2</v>
      </c>
      <c r="S22" s="12" t="n">
        <v>1.5</v>
      </c>
      <c r="T22" t="n">
        <v>0.2463437174856263</v>
      </c>
    </row>
    <row r="23" ht="15" customFormat="1" customHeight="1" s="8">
      <c r="B23" s="9" t="n"/>
      <c r="L23" s="9" t="n"/>
      <c r="M23" s="9" t="n"/>
      <c r="N23" s="9" t="n"/>
      <c r="O23" s="9" t="n"/>
      <c r="P23" s="9" t="n"/>
      <c r="Q23" s="9" t="n"/>
    </row>
    <row r="24" ht="15.6" customFormat="1" customHeight="1" s="8">
      <c r="A24" s="33" t="inlineStr">
        <is>
          <t>Activity</t>
        </is>
      </c>
      <c r="B24" s="82" t="inlineStr">
        <is>
          <t>electrolyzer production, 1MWe, PEM, Stack</t>
        </is>
      </c>
      <c r="C24" s="35" t="n"/>
      <c r="D24" s="35" t="n"/>
      <c r="E24" s="35" t="n"/>
      <c r="F24" s="35" t="n"/>
      <c r="G24" s="35" t="n"/>
      <c r="H24" s="35" t="n"/>
      <c r="I24" s="35" t="n"/>
      <c r="L24" s="9" t="n"/>
      <c r="M24" s="9" t="n"/>
      <c r="N24" s="9" t="n"/>
      <c r="O24" s="9" t="n"/>
      <c r="P24" s="9" t="n"/>
      <c r="Q24" s="9" t="n"/>
    </row>
    <row r="25" ht="15" customFormat="1" customHeight="1" s="8">
      <c r="A25" s="36" t="inlineStr">
        <is>
          <t>production amount</t>
        </is>
      </c>
      <c r="B25" s="79" t="n">
        <v>1</v>
      </c>
      <c r="C25" s="35" t="n"/>
      <c r="D25" s="35" t="n"/>
      <c r="E25" s="35" t="n"/>
      <c r="F25" s="35" t="n"/>
      <c r="G25" s="35" t="n"/>
      <c r="H25" s="35" t="n"/>
      <c r="I25" s="35" t="n"/>
      <c r="L25" s="9" t="n"/>
      <c r="M25" s="9" t="n"/>
      <c r="N25" s="9" t="n"/>
      <c r="O25" s="9" t="n"/>
      <c r="P25" s="9" t="n"/>
      <c r="Q25" s="9" t="n"/>
    </row>
    <row r="26" ht="15" customFormat="1" customHeight="1" s="8">
      <c r="A26" s="36" t="inlineStr">
        <is>
          <t>comment</t>
        </is>
      </c>
      <c r="B26" s="79" t="inlineStr">
        <is>
          <t>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 Values have already been multiplied by 3 to reflect 2 stack replacements over 20 years of use.</t>
        </is>
      </c>
      <c r="C26" s="35" t="n"/>
      <c r="D26" s="35" t="n"/>
      <c r="E26" s="35" t="n"/>
      <c r="F26" s="35" t="n"/>
      <c r="G26" s="35" t="n"/>
      <c r="H26" s="35" t="n"/>
      <c r="I26" s="35" t="n"/>
      <c r="L26" s="9" t="n"/>
      <c r="M26" s="9" t="n"/>
      <c r="N26" s="9" t="n"/>
      <c r="O26" s="9" t="n"/>
      <c r="P26" s="9" t="n"/>
      <c r="Q26" s="9" t="n"/>
    </row>
    <row r="27" ht="15" customFormat="1" customHeight="1" s="8">
      <c r="A27" s="36" t="inlineStr">
        <is>
          <t>reference product</t>
        </is>
      </c>
      <c r="B27" s="44" t="inlineStr">
        <is>
          <t>electrolyzer, 1MWe, PEM, Stack</t>
        </is>
      </c>
      <c r="C27" s="35" t="n"/>
      <c r="D27" s="35" t="n"/>
      <c r="E27" s="35" t="n"/>
      <c r="F27" s="35" t="n"/>
      <c r="G27" s="35" t="n"/>
      <c r="H27" s="35" t="n"/>
      <c r="I27" s="35" t="n"/>
      <c r="L27" s="9" t="n"/>
      <c r="M27" s="9" t="n"/>
      <c r="N27" s="9" t="n"/>
      <c r="O27" s="9" t="n"/>
      <c r="P27" s="9" t="n"/>
      <c r="Q27" s="9" t="n"/>
    </row>
    <row r="28" ht="15" customFormat="1" customHeight="1" s="8">
      <c r="A28" s="36" t="inlineStr">
        <is>
          <t>location</t>
        </is>
      </c>
      <c r="B28" s="79" t="inlineStr">
        <is>
          <t>RER</t>
        </is>
      </c>
      <c r="C28" s="35" t="n"/>
      <c r="D28" s="35" t="n"/>
      <c r="E28" s="35" t="n"/>
      <c r="F28" s="35" t="n"/>
      <c r="G28" s="35" t="n"/>
      <c r="H28" s="35" t="n"/>
      <c r="I28" s="35" t="n"/>
      <c r="L28" s="9" t="n"/>
      <c r="M28" s="9" t="n"/>
      <c r="N28" s="9" t="n"/>
      <c r="O28" s="9" t="n"/>
      <c r="P28" s="9" t="n"/>
      <c r="Q28" s="9" t="n"/>
    </row>
    <row r="29" ht="15" customFormat="1" customHeight="1" s="8">
      <c r="A29" s="36" t="inlineStr">
        <is>
          <t>unit</t>
        </is>
      </c>
      <c r="B29" s="44" t="inlineStr">
        <is>
          <t>unit</t>
        </is>
      </c>
      <c r="C29" s="35" t="n"/>
      <c r="D29" s="35" t="n"/>
      <c r="E29" s="35" t="n"/>
      <c r="F29" s="35" t="n"/>
      <c r="G29" s="35" t="n"/>
      <c r="H29" s="35" t="n"/>
      <c r="I29" s="35" t="n"/>
      <c r="L29" s="9" t="n"/>
      <c r="M29" s="9" t="n"/>
      <c r="N29" s="9" t="n"/>
      <c r="O29" s="9" t="n"/>
      <c r="P29" s="9" t="n"/>
      <c r="Q29" s="9" t="n"/>
    </row>
    <row r="30" ht="15.6" customFormat="1" customHeight="1" s="8">
      <c r="A30" s="38" t="inlineStr">
        <is>
          <t>Exchanges</t>
        </is>
      </c>
      <c r="B30" s="82" t="n"/>
      <c r="C30" s="38" t="n"/>
      <c r="D30" s="38" t="n"/>
      <c r="E30" s="38" t="n"/>
      <c r="F30" s="38" t="n"/>
      <c r="G30" s="38" t="n"/>
      <c r="H30" s="38" t="n"/>
      <c r="I30" s="38" t="n"/>
      <c r="J30" s="10" t="n"/>
      <c r="K30" s="10" t="n"/>
      <c r="L30" s="9" t="n"/>
      <c r="M30" s="9" t="n"/>
      <c r="N30" s="9" t="n"/>
      <c r="O30" s="9" t="n"/>
      <c r="P30" s="9" t="n"/>
      <c r="Q30" s="9" t="n"/>
    </row>
    <row r="31" ht="15.6" customFormat="1" customHeight="1" s="8">
      <c r="A31" s="38" t="inlineStr">
        <is>
          <t>name</t>
        </is>
      </c>
      <c r="B31" s="82" t="inlineStr">
        <is>
          <t>amount</t>
        </is>
      </c>
      <c r="C31" s="38" t="inlineStr">
        <is>
          <t>reference product</t>
        </is>
      </c>
      <c r="D31" s="38" t="inlineStr">
        <is>
          <t>location</t>
        </is>
      </c>
      <c r="E31" s="38" t="inlineStr">
        <is>
          <t>unit</t>
        </is>
      </c>
      <c r="F31" s="46" t="inlineStr">
        <is>
          <t>categories</t>
        </is>
      </c>
      <c r="G31" s="38" t="inlineStr">
        <is>
          <t>type</t>
        </is>
      </c>
      <c r="H31" s="38" t="inlineStr">
        <is>
          <t>database</t>
        </is>
      </c>
      <c r="I31" s="46" t="inlineStr">
        <is>
          <t>comment</t>
        </is>
      </c>
      <c r="J31" s="10" t="n"/>
      <c r="K31" s="6" t="n"/>
      <c r="L31" s="11" t="n"/>
      <c r="M31" s="11" t="n"/>
      <c r="N31" s="11" t="n"/>
      <c r="O31" s="11" t="n"/>
      <c r="P31" s="11" t="n"/>
      <c r="Q31" s="11" t="n"/>
      <c r="R31" s="6" t="n"/>
      <c r="S31" s="6" t="n"/>
      <c r="T31" s="10" t="n"/>
      <c r="U31" s="6" t="n"/>
    </row>
    <row r="32" ht="15" customFormat="1" customHeight="1" s="8">
      <c r="A32" s="37" t="inlineStr">
        <is>
          <t>electrolyzer production, 1MWe, PEM, Stack</t>
        </is>
      </c>
      <c r="B32" s="44" t="n">
        <v>1</v>
      </c>
      <c r="C32" s="35" t="inlineStr">
        <is>
          <t>electrolyzer, 1MWe, PEM, Stack</t>
        </is>
      </c>
      <c r="D32" s="35" t="inlineStr">
        <is>
          <t>RER</t>
        </is>
      </c>
      <c r="E32" s="35" t="inlineStr">
        <is>
          <t>unit</t>
        </is>
      </c>
      <c r="F32" s="35" t="n"/>
      <c r="G32" s="35" t="inlineStr">
        <is>
          <t>production</t>
        </is>
      </c>
      <c r="H32" s="37" t="inlineStr">
        <is>
          <t>h2_electrolysis</t>
        </is>
      </c>
      <c r="I32" s="35" t="n"/>
      <c r="L32" s="9" t="n"/>
      <c r="M32" s="9" t="n"/>
      <c r="N32" s="9" t="n"/>
      <c r="O32" s="9" t="n"/>
      <c r="P32" s="9" t="n"/>
      <c r="Q32" s="9" t="n"/>
    </row>
    <row r="33" ht="15.6" customFormat="1" customHeight="1" s="8">
      <c r="A33" s="93" t="inlineStr">
        <is>
          <t>Aluminium, production mix, wrought alloy, at plant</t>
        </is>
      </c>
      <c r="B33" s="44" t="n">
        <v>27</v>
      </c>
      <c r="C33" s="35" t="inlineStr">
        <is>
          <t>Aluminium, production mix, wrought alloy, at plant</t>
        </is>
      </c>
      <c r="D33" s="35" t="inlineStr">
        <is>
          <t>RER</t>
        </is>
      </c>
      <c r="E33" s="35" t="inlineStr">
        <is>
          <t>kilogram</t>
        </is>
      </c>
      <c r="F33" s="35" t="n"/>
      <c r="G33" s="35" t="inlineStr">
        <is>
          <t>technosphere</t>
        </is>
      </c>
      <c r="H33" s="35" t="inlineStr">
        <is>
          <t>bafu</t>
        </is>
      </c>
      <c r="I33" s="35" t="inlineStr">
        <is>
          <t>end plate</t>
        </is>
      </c>
      <c r="L33" s="12" t="n"/>
      <c r="M33" s="12" t="n"/>
      <c r="N33" s="12" t="n"/>
      <c r="O33" s="12" t="n"/>
      <c r="P33" s="12" t="n"/>
      <c r="Q33" s="12" t="n"/>
    </row>
    <row r="34" ht="15.6" customFormat="1" customHeight="1" s="8">
      <c r="A34" s="35" t="inlineStr">
        <is>
          <t>Sheet rolling, aluminium</t>
        </is>
      </c>
      <c r="B34" s="44" t="n">
        <v>27</v>
      </c>
      <c r="C34" s="35" t="inlineStr">
        <is>
          <t>Sheet rolling, aluminium</t>
        </is>
      </c>
      <c r="D34" s="35" t="inlineStr">
        <is>
          <t>RER</t>
        </is>
      </c>
      <c r="E34" s="35" t="inlineStr">
        <is>
          <t>kilogram</t>
        </is>
      </c>
      <c r="F34" s="35" t="n"/>
      <c r="G34" s="35" t="inlineStr">
        <is>
          <t>technosphere</t>
        </is>
      </c>
      <c r="H34" s="35" t="inlineStr">
        <is>
          <t>bafu</t>
        </is>
      </c>
      <c r="I34" s="35" t="inlineStr">
        <is>
          <t>end plate</t>
        </is>
      </c>
      <c r="L34" s="12" t="n"/>
      <c r="M34" s="12" t="n"/>
      <c r="N34" s="12" t="n"/>
      <c r="O34" s="12" t="n"/>
      <c r="P34" s="12" t="n"/>
      <c r="Q34" s="12" t="n"/>
    </row>
    <row r="35" ht="15.6" customFormat="1" customHeight="1" s="8">
      <c r="A35" s="35" t="inlineStr">
        <is>
          <t>Titanium dioxide, production mix, at plant</t>
        </is>
      </c>
      <c r="B35" s="44" t="n">
        <v>528</v>
      </c>
      <c r="C35" s="35" t="inlineStr">
        <is>
          <t>Titanium dioxide, production mix, at plant</t>
        </is>
      </c>
      <c r="D35" s="93" t="inlineStr">
        <is>
          <t>RER</t>
        </is>
      </c>
      <c r="E35" s="35" t="inlineStr">
        <is>
          <t>kilogram</t>
        </is>
      </c>
      <c r="F35" s="35" t="n"/>
      <c r="G35" s="35" t="inlineStr">
        <is>
          <t>technosphere</t>
        </is>
      </c>
      <c r="H35" s="35" t="inlineStr">
        <is>
          <t>bafu</t>
        </is>
      </c>
      <c r="I35" s="35" t="inlineStr">
        <is>
          <t>bipolar plate</t>
        </is>
      </c>
      <c r="L35" s="12" t="n"/>
      <c r="M35" s="12" t="n"/>
      <c r="N35" s="12" t="n"/>
      <c r="O35" s="12" t="n"/>
      <c r="P35" s="12" t="n"/>
      <c r="Q35" s="12" t="n"/>
    </row>
    <row r="36" ht="15.6" customFormat="1" customHeight="1" s="8">
      <c r="A36" s="35" t="inlineStr">
        <is>
          <t>Tetrafluoroethylene, at plant</t>
        </is>
      </c>
      <c r="B36" s="44" t="n">
        <v>16</v>
      </c>
      <c r="C36" s="35" t="inlineStr">
        <is>
          <t>Tetrafluoroethylene, at plant</t>
        </is>
      </c>
      <c r="D36" s="35" t="inlineStr">
        <is>
          <t>RER</t>
        </is>
      </c>
      <c r="E36" s="35" t="inlineStr">
        <is>
          <t>kilogram</t>
        </is>
      </c>
      <c r="F36" s="35" t="n"/>
      <c r="G36" s="35" t="inlineStr">
        <is>
          <t>technosphere</t>
        </is>
      </c>
      <c r="H36" s="35" t="inlineStr">
        <is>
          <t>bafu</t>
        </is>
      </c>
      <c r="I36" s="35" t="inlineStr">
        <is>
          <t>membrane polymer</t>
        </is>
      </c>
      <c r="L36" s="12" t="n"/>
      <c r="M36" s="12" t="n"/>
      <c r="N36" s="12" t="n"/>
      <c r="O36" s="12" t="n"/>
      <c r="P36" s="12" t="n"/>
      <c r="Q36" s="12" t="n"/>
    </row>
    <row r="37" ht="15.6" customFormat="1" customHeight="1" s="8">
      <c r="A37" s="35" t="inlineStr">
        <is>
          <t>Carbon black, at plant</t>
        </is>
      </c>
      <c r="B37" s="44" t="n">
        <v>4.5</v>
      </c>
      <c r="C37" s="35" t="inlineStr">
        <is>
          <t>Carbon black, at plant</t>
        </is>
      </c>
      <c r="D37" s="35" t="inlineStr">
        <is>
          <t>GLO</t>
        </is>
      </c>
      <c r="E37" s="35" t="inlineStr">
        <is>
          <t>kilogram</t>
        </is>
      </c>
      <c r="F37" s="35" t="n"/>
      <c r="G37" s="35" t="inlineStr">
        <is>
          <t>technosphere</t>
        </is>
      </c>
      <c r="H37" s="35" t="inlineStr">
        <is>
          <t>bafu</t>
        </is>
      </c>
      <c r="I37" s="35" t="inlineStr">
        <is>
          <t>electrocatalyst anode</t>
        </is>
      </c>
      <c r="L37" s="12" t="n"/>
      <c r="M37" s="12" t="n"/>
      <c r="N37" s="12" t="n"/>
      <c r="O37" s="12" t="n"/>
      <c r="P37" s="12" t="n"/>
      <c r="Q37" s="12" t="n"/>
    </row>
    <row r="38" ht="15.6" customFormat="1" customHeight="1" s="8">
      <c r="A38" s="35" t="inlineStr">
        <is>
          <t>iridium production</t>
        </is>
      </c>
      <c r="B38" s="44" t="n">
        <v>0.8</v>
      </c>
      <c r="C38" s="35" t="inlineStr">
        <is>
          <t>iridium</t>
        </is>
      </c>
      <c r="D38" s="35" t="inlineStr">
        <is>
          <t>GLO</t>
        </is>
      </c>
      <c r="E38" s="35" t="inlineStr">
        <is>
          <t>kilogram</t>
        </is>
      </c>
      <c r="F38" s="35" t="n"/>
      <c r="G38" s="35" t="inlineStr">
        <is>
          <t>technosphere</t>
        </is>
      </c>
      <c r="H38" s="35" t="inlineStr">
        <is>
          <t>h2_electrolysis</t>
        </is>
      </c>
      <c r="I38" s="35" t="inlineStr">
        <is>
          <t>electrocatalyst anode</t>
        </is>
      </c>
      <c r="L38" s="12" t="n"/>
      <c r="M38" s="12" t="n"/>
      <c r="N38" s="12" t="n"/>
      <c r="O38" s="12" t="n"/>
      <c r="P38" s="12" t="n"/>
      <c r="Q38" s="12" t="n"/>
    </row>
    <row r="39" ht="15.6" customFormat="1" customHeight="1" s="8">
      <c r="A39" s="35" t="inlineStr">
        <is>
          <t>Platinum, at regional storage</t>
        </is>
      </c>
      <c r="B39" s="44" t="n">
        <v>0.075</v>
      </c>
      <c r="C39" s="35" t="inlineStr">
        <is>
          <t>Platinum, at regional storage</t>
        </is>
      </c>
      <c r="D39" s="35" t="inlineStr">
        <is>
          <t>RER</t>
        </is>
      </c>
      <c r="E39" s="35" t="inlineStr">
        <is>
          <t>kilogram</t>
        </is>
      </c>
      <c r="F39" s="34" t="n"/>
      <c r="G39" s="35" t="inlineStr">
        <is>
          <t>technosphere</t>
        </is>
      </c>
      <c r="H39" s="35" t="inlineStr">
        <is>
          <t>bafu</t>
        </is>
      </c>
      <c r="I39" s="34" t="inlineStr">
        <is>
          <t>electrocatalyst cathode</t>
        </is>
      </c>
      <c r="L39" s="12" t="n"/>
      <c r="M39" s="12" t="n"/>
      <c r="N39" s="12" t="n"/>
      <c r="O39" s="12" t="n"/>
      <c r="P39" s="12" t="n"/>
      <c r="Q39" s="12" t="n"/>
    </row>
    <row r="40" ht="15.6" customFormat="1" customHeight="1" s="8">
      <c r="A40" s="35" t="inlineStr">
        <is>
          <t>Carbon black, at plant</t>
        </is>
      </c>
      <c r="B40" s="44" t="n">
        <v>4.5</v>
      </c>
      <c r="C40" s="35" t="inlineStr">
        <is>
          <t>Carbon black, at plant</t>
        </is>
      </c>
      <c r="D40" s="35" t="inlineStr">
        <is>
          <t>GLO</t>
        </is>
      </c>
      <c r="E40" s="35" t="inlineStr">
        <is>
          <t>kilogram</t>
        </is>
      </c>
      <c r="F40" s="35" t="n"/>
      <c r="G40" s="35" t="inlineStr">
        <is>
          <t>technosphere</t>
        </is>
      </c>
      <c r="H40" s="35" t="inlineStr">
        <is>
          <t>bafu</t>
        </is>
      </c>
      <c r="I40" s="34" t="inlineStr">
        <is>
          <t>electrocatalyst cathode</t>
        </is>
      </c>
      <c r="L40" s="12" t="n"/>
      <c r="M40" s="12" t="n"/>
      <c r="N40" s="12" t="n"/>
      <c r="O40" s="12" t="n"/>
      <c r="P40" s="12" t="n"/>
      <c r="Q40" s="12" t="n"/>
    </row>
    <row r="41" ht="15.6" customFormat="1" customHeight="1" s="8">
      <c r="A41" s="35" t="inlineStr">
        <is>
          <t>Copper, primary, at refinery</t>
        </is>
      </c>
      <c r="B41" s="44" t="n">
        <v>4.5</v>
      </c>
      <c r="C41" s="35" t="inlineStr">
        <is>
          <t>Copper, primary, at refinery</t>
        </is>
      </c>
      <c r="D41" s="35" t="inlineStr">
        <is>
          <t>GLO</t>
        </is>
      </c>
      <c r="E41" s="35" t="inlineStr">
        <is>
          <t>kilogram</t>
        </is>
      </c>
      <c r="F41" s="35" t="n"/>
      <c r="G41" s="35" t="inlineStr">
        <is>
          <t>technosphere</t>
        </is>
      </c>
      <c r="H41" s="35" t="inlineStr">
        <is>
          <t>bafu</t>
        </is>
      </c>
      <c r="I41" s="35" t="inlineStr">
        <is>
          <t>current collector</t>
        </is>
      </c>
      <c r="L41" s="12" t="n"/>
      <c r="M41" s="12" t="n"/>
      <c r="N41" s="12" t="n"/>
      <c r="O41" s="12" t="n"/>
      <c r="P41" s="12" t="n"/>
      <c r="Q41" s="12" t="n"/>
    </row>
    <row r="42" ht="15.6" customFormat="1" customHeight="1" s="8">
      <c r="A42" s="35" t="inlineStr">
        <is>
          <t>Sheet rolling, copper</t>
        </is>
      </c>
      <c r="B42" s="44" t="n">
        <v>4.5</v>
      </c>
      <c r="C42" s="35" t="inlineStr">
        <is>
          <t>Sheet rolling, copper</t>
        </is>
      </c>
      <c r="D42" s="35" t="inlineStr">
        <is>
          <t>RER</t>
        </is>
      </c>
      <c r="E42" s="35" t="inlineStr">
        <is>
          <t>kilogram</t>
        </is>
      </c>
      <c r="F42" s="35" t="n"/>
      <c r="G42" s="35" t="inlineStr">
        <is>
          <t>technosphere</t>
        </is>
      </c>
      <c r="H42" s="35" t="inlineStr">
        <is>
          <t>bafu</t>
        </is>
      </c>
      <c r="I42" s="35" t="inlineStr">
        <is>
          <t>current collector</t>
        </is>
      </c>
      <c r="L42" s="12" t="n"/>
      <c r="M42" s="12" t="n"/>
      <c r="N42" s="12" t="n"/>
      <c r="O42" s="12" t="n"/>
      <c r="P42" s="12" t="n"/>
      <c r="Q42" s="12" t="n"/>
    </row>
    <row r="43" ht="15.6" customFormat="1" customHeight="1" s="8">
      <c r="A43" s="35" t="inlineStr">
        <is>
          <t>Sheet rolling, chromium steel</t>
        </is>
      </c>
      <c r="B43" s="44" t="n">
        <v>100</v>
      </c>
      <c r="C43" s="35" t="inlineStr">
        <is>
          <t>Sheet rolling, chromium steel</t>
        </is>
      </c>
      <c r="D43" s="35" t="inlineStr">
        <is>
          <t>RER</t>
        </is>
      </c>
      <c r="E43" s="35" t="inlineStr">
        <is>
          <t>kilogram</t>
        </is>
      </c>
      <c r="F43" s="35" t="n"/>
      <c r="G43" s="35" t="inlineStr">
        <is>
          <t>technosphere</t>
        </is>
      </c>
      <c r="H43" s="35" t="inlineStr">
        <is>
          <t>bafu</t>
        </is>
      </c>
      <c r="I43" s="35" t="inlineStr">
        <is>
          <t>bolts and screws</t>
        </is>
      </c>
      <c r="L43" s="12" t="n"/>
      <c r="M43" s="12" t="n"/>
      <c r="N43" s="12" t="n"/>
      <c r="O43" s="12" t="n"/>
      <c r="P43" s="12" t="n"/>
      <c r="Q43" s="12" t="n"/>
    </row>
    <row r="44" ht="15.6" customFormat="1" customHeight="1" s="8">
      <c r="A44" s="35" t="inlineStr">
        <is>
          <t>Chromium steel 18/8, at plant</t>
        </is>
      </c>
      <c r="B44" s="44" t="n">
        <v>100</v>
      </c>
      <c r="C44" s="35" t="inlineStr">
        <is>
          <t>Chromium steel 18/8, at plant</t>
        </is>
      </c>
      <c r="D44" s="35" t="inlineStr">
        <is>
          <t>RER</t>
        </is>
      </c>
      <c r="E44" s="35" t="inlineStr">
        <is>
          <t>kilogram</t>
        </is>
      </c>
      <c r="F44" s="35" t="n"/>
      <c r="G44" s="35" t="inlineStr">
        <is>
          <t>technosphere</t>
        </is>
      </c>
      <c r="H44" s="35" t="inlineStr">
        <is>
          <t>bafu</t>
        </is>
      </c>
      <c r="I44" s="35" t="inlineStr">
        <is>
          <t>bolts and screws</t>
        </is>
      </c>
      <c r="L44" s="12" t="n"/>
      <c r="M44" s="12" t="n"/>
      <c r="N44" s="12" t="n"/>
      <c r="O44" s="12" t="n"/>
      <c r="P44" s="12" t="n"/>
      <c r="Q44" s="12" t="n"/>
    </row>
    <row r="45" ht="15.6" customFormat="1" customHeight="1" s="8">
      <c r="A45" s="35" t="inlineStr">
        <is>
          <t>Synthetic rubber, at plant</t>
        </is>
      </c>
      <c r="B45" s="44" t="n">
        <v>4.8</v>
      </c>
      <c r="C45" s="35" t="inlineStr">
        <is>
          <t>Synthetic rubber, at plant</t>
        </is>
      </c>
      <c r="D45" s="35" t="inlineStr">
        <is>
          <t>RER</t>
        </is>
      </c>
      <c r="E45" s="35" t="inlineStr">
        <is>
          <t>kilogram</t>
        </is>
      </c>
      <c r="F45" s="35" t="n"/>
      <c r="G45" s="35" t="inlineStr">
        <is>
          <t>technosphere</t>
        </is>
      </c>
      <c r="H45" s="35" t="inlineStr">
        <is>
          <t>bafu</t>
        </is>
      </c>
      <c r="I45" s="35" t="inlineStr">
        <is>
          <t>gasket</t>
        </is>
      </c>
      <c r="L45" s="12" t="n"/>
      <c r="M45" s="12" t="n"/>
      <c r="N45" s="12" t="n"/>
      <c r="O45" s="12" t="n"/>
      <c r="P45" s="12" t="n"/>
      <c r="Q45" s="12" t="n"/>
    </row>
    <row r="46" ht="15.6" customFormat="1" customHeight="1" s="8">
      <c r="A46" s="35" t="inlineStr">
        <is>
          <t>Electricity, low voltage, at grid</t>
        </is>
      </c>
      <c r="B46" s="44" t="n">
        <v>103890.7681</v>
      </c>
      <c r="C46" s="34" t="inlineStr">
        <is>
          <t>Electricity, low voltage, at grid</t>
        </is>
      </c>
      <c r="D46" s="35" t="inlineStr">
        <is>
          <t>GLO</t>
        </is>
      </c>
      <c r="E46" s="35" t="inlineStr">
        <is>
          <t>kilowatt hour</t>
        </is>
      </c>
      <c r="F46" s="34" t="n"/>
      <c r="G46" s="35" t="inlineStr">
        <is>
          <t>technosphere</t>
        </is>
      </c>
      <c r="H46" s="35" t="inlineStr">
        <is>
          <t>bafu</t>
        </is>
      </c>
      <c r="I46" s="35" t="inlineStr">
        <is>
          <t>assembly energy</t>
        </is>
      </c>
      <c r="L46" s="12" t="n"/>
      <c r="M46" s="12" t="n"/>
      <c r="N46" s="12" t="n"/>
      <c r="O46" s="12" t="n"/>
      <c r="P46" s="12" t="n"/>
      <c r="Q46" s="12" t="n"/>
    </row>
    <row r="47" ht="15.6" customFormat="1" customHeight="1" s="8">
      <c r="A47" s="35" t="inlineStr">
        <is>
          <t>Iridium</t>
        </is>
      </c>
      <c r="B47" s="44" t="n">
        <v>0.8</v>
      </c>
      <c r="C47" s="34" t="n"/>
      <c r="D47" s="35" t="n"/>
      <c r="E47" s="35" t="inlineStr">
        <is>
          <t>kilogram</t>
        </is>
      </c>
      <c r="F47" s="34" t="inlineStr">
        <is>
          <t>natural resource::in ground</t>
        </is>
      </c>
      <c r="G47" s="35" t="inlineStr">
        <is>
          <t>biosphere</t>
        </is>
      </c>
      <c r="H47" s="35" t="inlineStr">
        <is>
          <t>biosphere3</t>
        </is>
      </c>
      <c r="I47" s="35" t="n"/>
      <c r="L47" s="12" t="n"/>
      <c r="M47" s="12" t="n"/>
      <c r="N47" s="12" t="n"/>
      <c r="O47" s="12" t="n"/>
      <c r="P47" s="12" t="n"/>
      <c r="Q47" s="12" t="n"/>
      <c r="R47" s="12" t="n"/>
    </row>
    <row r="48" ht="15" customFormat="1" customHeight="1" s="8">
      <c r="B48" s="9" t="n"/>
      <c r="L48" s="9" t="n"/>
      <c r="M48" s="9" t="n"/>
      <c r="N48" s="9" t="n"/>
      <c r="O48" s="9" t="n"/>
      <c r="P48" s="9" t="n"/>
      <c r="Q48" s="9" t="n"/>
    </row>
    <row r="49" ht="15.6" customFormat="1" customHeight="1" s="8">
      <c r="A49" s="33" t="inlineStr">
        <is>
          <t>Activity</t>
        </is>
      </c>
      <c r="B49" s="82" t="inlineStr">
        <is>
          <t>treatment of fuel cell stack, 1MWe, PEM</t>
        </is>
      </c>
      <c r="C49" s="35" t="n"/>
      <c r="D49" s="35" t="n"/>
      <c r="E49" s="35" t="n"/>
      <c r="F49" s="35" t="n"/>
      <c r="G49" s="35" t="n"/>
      <c r="H49" s="35" t="n"/>
      <c r="I49" s="35" t="n"/>
      <c r="L49" s="9" t="n"/>
      <c r="M49" s="9" t="n"/>
      <c r="N49" s="9" t="n"/>
      <c r="O49" s="9" t="n"/>
      <c r="P49" s="9" t="n"/>
      <c r="Q49" s="9" t="n"/>
    </row>
    <row r="50" ht="15" customFormat="1" customHeight="1" s="8">
      <c r="A50" s="36" t="inlineStr">
        <is>
          <t>production amount</t>
        </is>
      </c>
      <c r="B50" s="79" t="n">
        <v>1</v>
      </c>
      <c r="C50" s="35" t="n"/>
      <c r="D50" s="35" t="n"/>
      <c r="E50" s="35" t="n"/>
      <c r="F50" s="35" t="n"/>
      <c r="G50" s="35" t="n"/>
      <c r="H50" s="35" t="n"/>
      <c r="I50" s="35" t="n"/>
      <c r="L50" s="9" t="n"/>
      <c r="M50" s="9" t="n"/>
      <c r="N50" s="9" t="n"/>
      <c r="O50" s="9" t="n"/>
      <c r="P50" s="9" t="n"/>
      <c r="Q50" s="9" t="n"/>
    </row>
    <row r="51" ht="15" customFormat="1" customHeight="1" s="8">
      <c r="A51" s="36" t="inlineStr">
        <is>
          <t>comment</t>
        </is>
      </c>
      <c r="B51" s="79" t="inlineStr">
        <is>
          <t>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 Values have already been multiplied by 3 to reflect 2 stack replacements over 20 years of use.</t>
        </is>
      </c>
      <c r="C51" s="35" t="n"/>
      <c r="D51" s="35" t="n"/>
      <c r="E51" s="35" t="n"/>
      <c r="F51" s="35" t="n"/>
      <c r="G51" s="35" t="n"/>
      <c r="H51" s="35" t="n"/>
      <c r="I51" s="35" t="n"/>
      <c r="L51" s="9" t="n"/>
      <c r="M51" s="9" t="n"/>
      <c r="N51" s="9" t="n"/>
      <c r="O51" s="9" t="n"/>
      <c r="P51" s="9" t="n"/>
      <c r="Q51" s="9" t="n"/>
    </row>
    <row r="52" ht="15" customFormat="1" customHeight="1" s="8">
      <c r="A52" s="36" t="inlineStr">
        <is>
          <t>reference product</t>
        </is>
      </c>
      <c r="B52" s="44" t="inlineStr">
        <is>
          <t>used fuel cell stack, 1MWe, PEM</t>
        </is>
      </c>
      <c r="C52" s="35" t="n"/>
      <c r="D52" s="35" t="n"/>
      <c r="E52" s="35" t="n"/>
      <c r="F52" s="35" t="n"/>
      <c r="G52" s="35" t="n"/>
      <c r="H52" s="35" t="n"/>
      <c r="I52" s="35" t="n"/>
      <c r="L52" s="9" t="n"/>
      <c r="M52" s="9" t="n"/>
      <c r="N52" s="9" t="n"/>
      <c r="O52" s="9" t="n"/>
      <c r="P52" s="9" t="n"/>
      <c r="Q52" s="9" t="n"/>
    </row>
    <row r="53" ht="15" customFormat="1" customHeight="1" s="8">
      <c r="A53" s="36" t="inlineStr">
        <is>
          <t>location</t>
        </is>
      </c>
      <c r="B53" s="79" t="inlineStr">
        <is>
          <t>RER</t>
        </is>
      </c>
      <c r="C53" s="35" t="n"/>
      <c r="D53" s="35" t="n"/>
      <c r="E53" s="35" t="n"/>
      <c r="F53" s="35" t="n"/>
      <c r="G53" s="35" t="n"/>
      <c r="H53" s="35" t="n"/>
      <c r="I53" s="35" t="n"/>
      <c r="L53" s="9" t="n"/>
      <c r="M53" s="9" t="n"/>
      <c r="N53" s="9" t="n"/>
      <c r="O53" s="9" t="n"/>
      <c r="P53" s="9" t="n"/>
      <c r="Q53" s="9" t="n"/>
    </row>
    <row r="54" ht="15" customFormat="1" customHeight="1" s="8">
      <c r="A54" s="36" t="inlineStr">
        <is>
          <t>unit</t>
        </is>
      </c>
      <c r="B54" s="44" t="inlineStr">
        <is>
          <t>unit</t>
        </is>
      </c>
      <c r="C54" s="35" t="n"/>
      <c r="D54" s="35" t="n"/>
      <c r="E54" s="35" t="n"/>
      <c r="F54" s="35" t="n"/>
      <c r="G54" s="35" t="n"/>
      <c r="H54" s="35" t="n"/>
      <c r="I54" s="35" t="n"/>
      <c r="L54" s="9" t="n"/>
      <c r="M54" s="9" t="n"/>
      <c r="N54" s="9" t="n"/>
      <c r="O54" s="9" t="n"/>
      <c r="P54" s="9" t="n"/>
      <c r="Q54" s="9" t="n"/>
    </row>
    <row r="55" ht="15.6" customFormat="1" customHeight="1" s="8">
      <c r="A55" s="38" t="inlineStr">
        <is>
          <t>Exchanges</t>
        </is>
      </c>
      <c r="B55" s="82" t="n"/>
      <c r="C55" s="38" t="n"/>
      <c r="D55" s="38" t="n"/>
      <c r="E55" s="38" t="n"/>
      <c r="F55" s="38" t="n"/>
      <c r="G55" s="38" t="n"/>
      <c r="H55" s="38" t="n"/>
      <c r="I55" s="38" t="n"/>
      <c r="J55" s="10" t="n"/>
      <c r="K55" s="10" t="n"/>
      <c r="L55" s="9" t="n"/>
      <c r="M55" s="9" t="n"/>
      <c r="N55" s="9" t="n"/>
      <c r="O55" s="9" t="n"/>
      <c r="P55" s="9" t="n"/>
      <c r="Q55" s="9" t="n"/>
    </row>
    <row r="56" ht="15.6" customFormat="1" customHeight="1" s="8">
      <c r="A56" s="38" t="inlineStr">
        <is>
          <t>name</t>
        </is>
      </c>
      <c r="B56" s="82" t="inlineStr">
        <is>
          <t>amount</t>
        </is>
      </c>
      <c r="C56" s="38" t="inlineStr">
        <is>
          <t>reference product</t>
        </is>
      </c>
      <c r="D56" s="38" t="inlineStr">
        <is>
          <t>location</t>
        </is>
      </c>
      <c r="E56" s="38" t="inlineStr">
        <is>
          <t>unit</t>
        </is>
      </c>
      <c r="F56" s="46" t="inlineStr">
        <is>
          <t>categories</t>
        </is>
      </c>
      <c r="G56" s="38" t="inlineStr">
        <is>
          <t>type</t>
        </is>
      </c>
      <c r="H56" s="38" t="inlineStr">
        <is>
          <t>database</t>
        </is>
      </c>
      <c r="I56" s="46" t="inlineStr">
        <is>
          <t>comment</t>
        </is>
      </c>
      <c r="J56" s="10" t="n"/>
      <c r="K56" s="6" t="n"/>
      <c r="L56" s="11" t="n"/>
      <c r="M56" s="11" t="n"/>
      <c r="N56" s="11" t="n"/>
      <c r="O56" s="11" t="n"/>
      <c r="P56" s="11" t="n"/>
      <c r="Q56" s="11" t="n"/>
      <c r="R56" s="6" t="n"/>
      <c r="S56" s="6" t="n"/>
      <c r="T56" s="10" t="n"/>
      <c r="U56" s="6" t="n"/>
    </row>
    <row r="57" ht="15" customFormat="1" customHeight="1" s="8">
      <c r="A57" s="37" t="inlineStr">
        <is>
          <t>treatment of fuel cell stack, 1MWe, PEM</t>
        </is>
      </c>
      <c r="B57" s="44" t="n">
        <v>-1</v>
      </c>
      <c r="C57" s="35" t="inlineStr">
        <is>
          <t>used fuel cell stack, 1MWe, PEM</t>
        </is>
      </c>
      <c r="D57" s="35" t="inlineStr">
        <is>
          <t>RER</t>
        </is>
      </c>
      <c r="E57" s="35" t="inlineStr">
        <is>
          <t>unit</t>
        </is>
      </c>
      <c r="F57" s="35" t="n"/>
      <c r="G57" s="35" t="inlineStr">
        <is>
          <t>production</t>
        </is>
      </c>
      <c r="H57" s="37" t="inlineStr">
        <is>
          <t>h2_electrolysis</t>
        </is>
      </c>
      <c r="I57" s="35" t="n"/>
      <c r="L57" s="9" t="n"/>
      <c r="M57" s="9" t="n"/>
      <c r="N57" s="9" t="n"/>
      <c r="O57" s="9" t="n"/>
      <c r="P57" s="9" t="n"/>
      <c r="Q57" s="9" t="n"/>
    </row>
    <row r="58" ht="15.6" customFormat="1" customHeight="1" s="8">
      <c r="A58" s="37" t="inlineStr">
        <is>
          <t>Iron scrap, at plant</t>
        </is>
      </c>
      <c r="B58" s="44" t="n">
        <v>-100</v>
      </c>
      <c r="C58" s="35" t="inlineStr">
        <is>
          <t>Iron scrap, at plant</t>
        </is>
      </c>
      <c r="D58" s="35" t="inlineStr">
        <is>
          <t>RER</t>
        </is>
      </c>
      <c r="E58" s="35" t="inlineStr">
        <is>
          <t>kilogram</t>
        </is>
      </c>
      <c r="F58" s="35" t="n"/>
      <c r="G58" s="35" t="inlineStr">
        <is>
          <t>technosphere</t>
        </is>
      </c>
      <c r="H58" s="35" t="inlineStr">
        <is>
          <t>bafu</t>
        </is>
      </c>
      <c r="I58" s="35" t="n"/>
      <c r="L58" s="12" t="n"/>
      <c r="M58" s="12" t="n"/>
      <c r="N58" s="12" t="n"/>
      <c r="O58" s="12" t="n"/>
      <c r="P58" s="12" t="n"/>
      <c r="Q58" s="12" t="n"/>
    </row>
    <row r="59" ht="15.6" customFormat="1" customHeight="1" s="8">
      <c r="A59" s="35" t="inlineStr">
        <is>
          <t>Aluminium scrap, old, at plant</t>
        </is>
      </c>
      <c r="B59" s="44" t="n">
        <v>-27</v>
      </c>
      <c r="C59" s="35" t="inlineStr">
        <is>
          <t>Aluminium scrap, old, at plant</t>
        </is>
      </c>
      <c r="D59" s="35" t="inlineStr">
        <is>
          <t>RER</t>
        </is>
      </c>
      <c r="E59" s="35" t="inlineStr">
        <is>
          <t>kilogram</t>
        </is>
      </c>
      <c r="F59" s="35" t="n"/>
      <c r="G59" s="93" t="inlineStr">
        <is>
          <t>technosphere</t>
        </is>
      </c>
      <c r="H59" s="35" t="inlineStr">
        <is>
          <t>bafu</t>
        </is>
      </c>
      <c r="I59" s="35" t="n"/>
      <c r="L59" s="12" t="n"/>
      <c r="M59" s="12" t="n"/>
      <c r="N59" s="12" t="n"/>
      <c r="O59" s="12" t="n"/>
      <c r="P59" s="12" t="n"/>
      <c r="Q59" s="12" t="n"/>
    </row>
    <row r="60" ht="15.6" customFormat="1" customHeight="1" s="8">
      <c r="A60" s="35" t="inlineStr">
        <is>
          <t>Copper, at regional storage</t>
        </is>
      </c>
      <c r="B60" s="44" t="n">
        <v>-4.5</v>
      </c>
      <c r="C60" s="35" t="inlineStr">
        <is>
          <t>Copper, at regional storage</t>
        </is>
      </c>
      <c r="D60" s="35" t="inlineStr">
        <is>
          <t>RER</t>
        </is>
      </c>
      <c r="E60" s="35" t="inlineStr">
        <is>
          <t>kilogram</t>
        </is>
      </c>
      <c r="F60" s="35" t="n"/>
      <c r="G60" s="35" t="inlineStr">
        <is>
          <t>technosphere</t>
        </is>
      </c>
      <c r="H60" s="93" t="inlineStr">
        <is>
          <t>bafu</t>
        </is>
      </c>
      <c r="I60" s="35" t="n"/>
      <c r="L60" s="12" t="n"/>
      <c r="M60" s="12" t="n"/>
      <c r="N60" s="12" t="n"/>
      <c r="O60" s="12" t="n"/>
      <c r="P60" s="12" t="n"/>
      <c r="Q60" s="12" t="n"/>
    </row>
    <row r="61" ht="15.6" customFormat="1" customHeight="1" s="8">
      <c r="A61" s="35" t="inlineStr">
        <is>
          <t>Disposal, plastics, mixture, 15.3% water, to municipal incineration</t>
        </is>
      </c>
      <c r="B61" s="44" t="n">
        <v>-16</v>
      </c>
      <c r="C61" s="35" t="inlineStr">
        <is>
          <t>Disposal, plastics, mixture, 15.3% water, to municipal incineration</t>
        </is>
      </c>
      <c r="D61" s="35" t="inlineStr">
        <is>
          <t>CH</t>
        </is>
      </c>
      <c r="E61" s="35" t="inlineStr">
        <is>
          <t>kilogram</t>
        </is>
      </c>
      <c r="F61" s="35" t="n"/>
      <c r="G61" s="35" t="inlineStr">
        <is>
          <t>technosphere</t>
        </is>
      </c>
      <c r="H61" s="35" t="inlineStr">
        <is>
          <t>bafu</t>
        </is>
      </c>
      <c r="I61" s="35" t="n"/>
      <c r="L61" s="12" t="n"/>
      <c r="M61" s="12" t="n"/>
      <c r="N61" s="12" t="n"/>
      <c r="O61" s="12" t="n"/>
      <c r="P61" s="12" t="n"/>
      <c r="Q61" s="12" t="n"/>
    </row>
    <row r="62" ht="15.6" customFormat="1" customHeight="1" s="8">
      <c r="A62" s="35" t="inlineStr">
        <is>
          <t>Disposal, rubber, unspecified, 0% water, to municipal incineration</t>
        </is>
      </c>
      <c r="B62" s="44" t="n">
        <v>-4.8</v>
      </c>
      <c r="C62" s="35" t="inlineStr">
        <is>
          <t>Disposal, rubber, unspecified, 0% water, to municipal incineration</t>
        </is>
      </c>
      <c r="D62" s="35" t="inlineStr">
        <is>
          <t>CH</t>
        </is>
      </c>
      <c r="E62" s="35" t="inlineStr">
        <is>
          <t>kilogram</t>
        </is>
      </c>
      <c r="F62" s="35" t="n"/>
      <c r="G62" s="35" t="inlineStr">
        <is>
          <t>technosphere</t>
        </is>
      </c>
      <c r="H62" s="35" t="inlineStr">
        <is>
          <t>bafu</t>
        </is>
      </c>
      <c r="I62" s="35" t="n"/>
      <c r="L62" s="12" t="n"/>
      <c r="M62" s="12" t="n"/>
      <c r="N62" s="12" t="n"/>
      <c r="O62" s="12" t="n"/>
      <c r="P62" s="12" t="n"/>
      <c r="Q62" s="12" t="n"/>
    </row>
    <row r="63" ht="15" customFormat="1" customHeight="1" s="8">
      <c r="B63" s="9" t="n"/>
      <c r="L63" s="9" t="n"/>
      <c r="M63" s="9" t="n"/>
      <c r="N63" s="9" t="n"/>
      <c r="O63" s="9" t="n"/>
      <c r="P63" s="9" t="n"/>
      <c r="Q63" s="9" t="n"/>
    </row>
    <row r="64" ht="15.6" customFormat="1" customHeight="1" s="8">
      <c r="A64" s="33" t="inlineStr">
        <is>
          <t>Activity</t>
        </is>
      </c>
      <c r="B64" s="82" t="inlineStr">
        <is>
          <t>electrolyzer production, 1MWe, PEM, Balance of Plant</t>
        </is>
      </c>
      <c r="C64" s="35" t="n"/>
      <c r="D64" s="35" t="n"/>
      <c r="E64" s="35" t="n"/>
      <c r="F64" s="35" t="n"/>
      <c r="G64" s="35" t="n"/>
      <c r="H64" s="35" t="n"/>
      <c r="I64" s="35" t="n"/>
      <c r="L64" s="13" t="n"/>
      <c r="M64" s="14" t="n"/>
      <c r="N64" s="9" t="n"/>
      <c r="O64" s="9" t="n"/>
      <c r="P64" s="9" t="n"/>
      <c r="Q64" s="9" t="n"/>
    </row>
    <row r="65" ht="15" customFormat="1" customHeight="1" s="8">
      <c r="A65" s="36" t="inlineStr">
        <is>
          <t>production amount</t>
        </is>
      </c>
      <c r="B65" s="79" t="n">
        <v>1</v>
      </c>
      <c r="C65" s="35" t="n"/>
      <c r="D65" s="35" t="n"/>
      <c r="E65" s="35" t="n"/>
      <c r="F65" s="35" t="n"/>
      <c r="G65" s="35" t="n"/>
      <c r="H65" s="35" t="n"/>
      <c r="I65" s="35" t="n"/>
      <c r="L65" s="15" t="n"/>
      <c r="M65" s="14" t="n"/>
      <c r="N65" s="9" t="n"/>
      <c r="O65" s="9" t="n"/>
      <c r="P65" s="9" t="n"/>
      <c r="Q65" s="9" t="n"/>
    </row>
    <row r="66" ht="15" customFormat="1" customHeight="1" s="8">
      <c r="A66" s="36" t="inlineStr">
        <is>
          <t>comment</t>
        </is>
      </c>
      <c r="B66" s="79" t="inlineStr">
        <is>
          <t>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t>
        </is>
      </c>
      <c r="C66" s="35" t="n"/>
      <c r="D66" s="35" t="n"/>
      <c r="E66" s="35" t="n"/>
      <c r="F66" s="35" t="n"/>
      <c r="G66" s="35" t="n"/>
      <c r="H66" s="35" t="n"/>
      <c r="I66" s="35" t="n"/>
      <c r="L66" s="9" t="n"/>
      <c r="M66" s="14" t="n"/>
      <c r="N66" s="9" t="n"/>
      <c r="O66" s="9" t="n"/>
      <c r="P66" s="9" t="n"/>
      <c r="Q66" s="9" t="n"/>
    </row>
    <row r="67" ht="15" customFormat="1" customHeight="1" s="8">
      <c r="A67" s="36" t="inlineStr">
        <is>
          <t>reference product</t>
        </is>
      </c>
      <c r="B67" s="44" t="inlineStr">
        <is>
          <t>electrolyzer, 1MWe, PEM, Balance of Plant</t>
        </is>
      </c>
      <c r="C67" s="35" t="n"/>
      <c r="D67" s="35" t="n"/>
      <c r="E67" s="35" t="n"/>
      <c r="F67" s="35" t="n"/>
      <c r="G67" s="35" t="n"/>
      <c r="H67" s="35" t="n"/>
      <c r="I67" s="35" t="n"/>
      <c r="L67" s="9" t="n"/>
      <c r="M67" s="9" t="n"/>
      <c r="N67" s="9" t="n"/>
      <c r="O67" s="9" t="n"/>
      <c r="P67" s="9" t="n"/>
      <c r="Q67" s="9" t="n"/>
    </row>
    <row r="68" ht="16.35" customFormat="1" customHeight="1" s="8">
      <c r="A68" s="36" t="inlineStr">
        <is>
          <t>location</t>
        </is>
      </c>
      <c r="B68" s="79" t="inlineStr">
        <is>
          <t>RER</t>
        </is>
      </c>
      <c r="C68" s="35" t="n"/>
      <c r="D68" s="35" t="n"/>
      <c r="E68" s="35" t="n"/>
      <c r="F68" s="35" t="n"/>
      <c r="G68" s="35" t="n"/>
      <c r="H68" s="35" t="n"/>
      <c r="I68" s="35" t="n"/>
      <c r="L68" s="9" t="n"/>
      <c r="M68" s="9" t="n"/>
      <c r="N68" s="9" t="n"/>
      <c r="O68" s="9" t="n"/>
      <c r="P68" s="9" t="n"/>
      <c r="Q68" s="9" t="n"/>
    </row>
    <row r="69" ht="15.6" customFormat="1" customHeight="1" s="8">
      <c r="A69" s="36" t="inlineStr">
        <is>
          <t>unit</t>
        </is>
      </c>
      <c r="B69" s="44" t="inlineStr">
        <is>
          <t>unit</t>
        </is>
      </c>
      <c r="C69" s="35" t="n"/>
      <c r="D69" s="35" t="n"/>
      <c r="E69" s="35" t="n"/>
      <c r="F69" s="35" t="n"/>
      <c r="G69" s="35" t="n"/>
      <c r="H69" s="35" t="n"/>
      <c r="I69" s="38" t="n"/>
      <c r="J69" s="10" t="n"/>
      <c r="L69" s="9" t="n"/>
      <c r="M69" s="9" t="n"/>
      <c r="N69" s="9" t="n"/>
      <c r="O69" s="9" t="n"/>
      <c r="P69" s="9" t="n"/>
      <c r="Q69" s="9" t="n"/>
    </row>
    <row r="70" ht="15.6" customFormat="1" customHeight="1" s="8">
      <c r="A70" s="38" t="inlineStr">
        <is>
          <t>Exchanges</t>
        </is>
      </c>
      <c r="B70" s="82" t="n"/>
      <c r="C70" s="38" t="n"/>
      <c r="D70" s="38" t="n"/>
      <c r="E70" s="38" t="n"/>
      <c r="F70" s="38" t="n"/>
      <c r="G70" s="38" t="n"/>
      <c r="H70" s="38" t="n"/>
      <c r="I70" s="34" t="n"/>
      <c r="J70" s="7" t="n"/>
      <c r="L70" s="9" t="n"/>
      <c r="M70" s="9" t="n"/>
      <c r="N70" s="9" t="n"/>
      <c r="O70" s="9" t="n"/>
      <c r="P70" s="9" t="n"/>
      <c r="Q70" s="9" t="n"/>
    </row>
    <row r="71" ht="15.6" customFormat="1" customHeight="1" s="8">
      <c r="A71" s="38" t="inlineStr">
        <is>
          <t>name</t>
        </is>
      </c>
      <c r="B71" s="82" t="inlineStr">
        <is>
          <t>amount</t>
        </is>
      </c>
      <c r="C71" s="38" t="inlineStr">
        <is>
          <t>reference product</t>
        </is>
      </c>
      <c r="D71" s="38" t="inlineStr">
        <is>
          <t>location</t>
        </is>
      </c>
      <c r="E71" s="38" t="inlineStr">
        <is>
          <t>unit</t>
        </is>
      </c>
      <c r="F71" s="46" t="inlineStr">
        <is>
          <t>categories</t>
        </is>
      </c>
      <c r="G71" s="38" t="inlineStr">
        <is>
          <t>type</t>
        </is>
      </c>
      <c r="H71" s="38" t="inlineStr">
        <is>
          <t>database</t>
        </is>
      </c>
      <c r="I71" s="46" t="inlineStr">
        <is>
          <t>comment</t>
        </is>
      </c>
      <c r="J71" s="10" t="n"/>
      <c r="K71" s="6" t="n"/>
      <c r="L71" s="11" t="n"/>
      <c r="M71" s="11" t="n"/>
      <c r="N71" s="11" t="n"/>
      <c r="O71" s="11" t="n"/>
      <c r="P71" s="11" t="n"/>
      <c r="Q71" s="11" t="n"/>
      <c r="R71" s="6" t="n"/>
      <c r="S71" s="6" t="n"/>
      <c r="T71" s="10" t="inlineStr">
        <is>
          <t>negative</t>
        </is>
      </c>
      <c r="U71" s="6" t="inlineStr">
        <is>
          <t>simapro category</t>
        </is>
      </c>
    </row>
    <row r="72" ht="15" customFormat="1" customHeight="1" s="8">
      <c r="A72" s="37" t="inlineStr">
        <is>
          <t>electrolyzer production, 1MWe, PEM, Balance of Plant</t>
        </is>
      </c>
      <c r="B72" s="44" t="n">
        <v>1</v>
      </c>
      <c r="C72" s="35" t="inlineStr">
        <is>
          <t>electrolyzer, 1MWe, PEM, Balance of Plant</t>
        </is>
      </c>
      <c r="D72" s="35" t="inlineStr">
        <is>
          <t>RER</t>
        </is>
      </c>
      <c r="E72" s="35" t="inlineStr">
        <is>
          <t>unit</t>
        </is>
      </c>
      <c r="F72" s="35" t="n"/>
      <c r="G72" s="35" t="inlineStr">
        <is>
          <t>production</t>
        </is>
      </c>
      <c r="H72" s="37" t="inlineStr">
        <is>
          <t>h2_electrolysis</t>
        </is>
      </c>
      <c r="I72" s="34" t="n"/>
      <c r="J72" s="7" t="n"/>
      <c r="L72" s="9" t="n"/>
      <c r="M72" s="9" t="n"/>
      <c r="N72" s="9" t="n"/>
      <c r="O72" s="9" t="n"/>
      <c r="P72" s="9" t="n"/>
      <c r="Q72" s="15" t="n"/>
      <c r="U72" s="8" t="inlineStr">
        <is>
          <t>Material/Fuels/Synthetic/Infrastructure</t>
        </is>
      </c>
    </row>
    <row r="73" ht="15.6" customFormat="1" customHeight="1" s="8">
      <c r="A73" s="35" t="inlineStr">
        <is>
          <t>Aluminium, production mix, wrought alloy, at plant</t>
        </is>
      </c>
      <c r="B73" s="44" t="n">
        <v>100</v>
      </c>
      <c r="C73" s="35" t="inlineStr">
        <is>
          <t>Aluminium, production mix, wrought alloy, at plant</t>
        </is>
      </c>
      <c r="D73" s="35" t="inlineStr">
        <is>
          <t>RER</t>
        </is>
      </c>
      <c r="E73" s="35" t="inlineStr">
        <is>
          <t>kilogram</t>
        </is>
      </c>
      <c r="F73" s="35" t="n"/>
      <c r="G73" s="35" t="inlineStr">
        <is>
          <t>technosphere</t>
        </is>
      </c>
      <c r="H73" s="35" t="inlineStr">
        <is>
          <t>bafu</t>
        </is>
      </c>
      <c r="I73" s="47" t="inlineStr">
        <is>
          <t>power electronics (rectifier, voltage adaption)</t>
        </is>
      </c>
      <c r="L73" s="12" t="n"/>
      <c r="M73" s="12" t="n"/>
      <c r="N73" s="12" t="n"/>
      <c r="O73" s="12" t="n"/>
      <c r="P73" s="12" t="n"/>
      <c r="Q73" s="12" t="n"/>
    </row>
    <row r="74" ht="15.6" customFormat="1" customHeight="1" s="8">
      <c r="A74" s="35" t="inlineStr">
        <is>
          <t>Copper, primary, at refinery</t>
        </is>
      </c>
      <c r="B74" s="44" t="n">
        <v>200</v>
      </c>
      <c r="C74" s="35" t="inlineStr">
        <is>
          <t>Copper, primary, at refinery</t>
        </is>
      </c>
      <c r="D74" s="35" t="inlineStr">
        <is>
          <t>GLO</t>
        </is>
      </c>
      <c r="E74" s="35" t="inlineStr">
        <is>
          <t>kilogram</t>
        </is>
      </c>
      <c r="F74" s="35" t="n"/>
      <c r="G74" s="35" t="inlineStr">
        <is>
          <t>technosphere</t>
        </is>
      </c>
      <c r="H74" s="35" t="inlineStr">
        <is>
          <t>bafu</t>
        </is>
      </c>
      <c r="I74" s="47" t="inlineStr">
        <is>
          <t>power electronics (rectifier, voltage adaption)</t>
        </is>
      </c>
      <c r="L74" s="12" t="n"/>
      <c r="M74" s="12" t="n"/>
      <c r="N74" s="12" t="n"/>
      <c r="O74" s="12" t="n"/>
      <c r="P74" s="12" t="n"/>
      <c r="Q74" s="12" t="n"/>
    </row>
    <row r="75" ht="15.6" customFormat="1" customHeight="1" s="8">
      <c r="A75" s="35" t="inlineStr">
        <is>
          <t>Reinforcing steel, at plant</t>
        </is>
      </c>
      <c r="B75" s="44" t="n">
        <v>600</v>
      </c>
      <c r="C75" s="35" t="inlineStr">
        <is>
          <t>Reinforcing steel, at plant</t>
        </is>
      </c>
      <c r="D75" s="35" t="inlineStr">
        <is>
          <t>RER</t>
        </is>
      </c>
      <c r="E75" s="35" t="inlineStr">
        <is>
          <t>kilogram</t>
        </is>
      </c>
      <c r="F75" s="35" t="n"/>
      <c r="G75" s="35" t="inlineStr">
        <is>
          <t>technosphere</t>
        </is>
      </c>
      <c r="H75" s="35" t="inlineStr">
        <is>
          <t>bafu</t>
        </is>
      </c>
      <c r="I75" s="47" t="inlineStr">
        <is>
          <t>power electronics (rectifier, voltage adaption)</t>
        </is>
      </c>
      <c r="L75" s="12" t="n"/>
      <c r="M75" s="12" t="n"/>
      <c r="N75" s="12" t="n"/>
      <c r="O75" s="12" t="n"/>
      <c r="P75" s="12" t="n"/>
      <c r="Q75" s="12" t="n"/>
    </row>
    <row r="76" ht="15.6" customFormat="1" customHeight="1" s="8">
      <c r="A76" s="35" t="inlineStr">
        <is>
          <t>Sheet rolling, aluminium</t>
        </is>
      </c>
      <c r="B76" s="44" t="n">
        <v>100</v>
      </c>
      <c r="C76" s="35" t="inlineStr">
        <is>
          <t>Sheet rolling, aluminium</t>
        </is>
      </c>
      <c r="D76" s="35" t="inlineStr">
        <is>
          <t>RER</t>
        </is>
      </c>
      <c r="E76" s="35" t="inlineStr">
        <is>
          <t>kilogram</t>
        </is>
      </c>
      <c r="F76" s="35" t="n"/>
      <c r="G76" s="35" t="inlineStr">
        <is>
          <t>technosphere</t>
        </is>
      </c>
      <c r="H76" s="35" t="inlineStr">
        <is>
          <t>bafu</t>
        </is>
      </c>
      <c r="I76" s="47" t="inlineStr">
        <is>
          <t>power electronics (rectifier, voltage adaption)</t>
        </is>
      </c>
      <c r="L76" s="12" t="n"/>
      <c r="M76" s="12" t="n"/>
      <c r="N76" s="12" t="n"/>
      <c r="O76" s="12" t="n"/>
      <c r="P76" s="12" t="n"/>
      <c r="Q76" s="12" t="n"/>
    </row>
    <row r="77" ht="15.6" customFormat="1" customHeight="1" s="8">
      <c r="A77" s="35" t="inlineStr">
        <is>
          <t>Sheet rolling, steel</t>
        </is>
      </c>
      <c r="B77" s="44" t="n">
        <v>600</v>
      </c>
      <c r="C77" s="35" t="inlineStr">
        <is>
          <t>Sheet rolling, steel</t>
        </is>
      </c>
      <c r="D77" s="35" t="inlineStr">
        <is>
          <t>RER</t>
        </is>
      </c>
      <c r="E77" s="35" t="inlineStr">
        <is>
          <t>kilogram</t>
        </is>
      </c>
      <c r="F77" s="35" t="n"/>
      <c r="G77" s="35" t="inlineStr">
        <is>
          <t>technosphere</t>
        </is>
      </c>
      <c r="H77" s="35" t="inlineStr">
        <is>
          <t>bafu</t>
        </is>
      </c>
      <c r="I77" s="47" t="inlineStr">
        <is>
          <t>power electronics (rectifier, voltage adaption)</t>
        </is>
      </c>
      <c r="L77" s="12" t="n"/>
      <c r="M77" s="12" t="n"/>
      <c r="N77" s="12" t="n"/>
      <c r="O77" s="12" t="n"/>
      <c r="P77" s="12" t="n"/>
      <c r="Q77" s="12" t="n"/>
    </row>
    <row r="78" ht="15.6" customFormat="1" customHeight="1" s="8">
      <c r="A78" s="35" t="inlineStr">
        <is>
          <t>Tube insulation, elastomere, at plant</t>
        </is>
      </c>
      <c r="B78" s="44" t="n">
        <v>100</v>
      </c>
      <c r="C78" s="35" t="inlineStr">
        <is>
          <t>Tube insulation, elastomere, at plant</t>
        </is>
      </c>
      <c r="D78" s="35" t="inlineStr">
        <is>
          <t>DE</t>
        </is>
      </c>
      <c r="E78" s="35" t="inlineStr">
        <is>
          <t>kilogram</t>
        </is>
      </c>
      <c r="F78" s="35" t="n"/>
      <c r="G78" s="35" t="inlineStr">
        <is>
          <t>technosphere</t>
        </is>
      </c>
      <c r="H78" s="35" t="inlineStr">
        <is>
          <t>bafu</t>
        </is>
      </c>
      <c r="I78" s="47" t="inlineStr">
        <is>
          <t>power electronics (rectifier, voltage adaption)</t>
        </is>
      </c>
      <c r="L78" s="12" t="n"/>
      <c r="M78" s="12" t="n"/>
      <c r="N78" s="12" t="n"/>
      <c r="O78" s="12" t="n"/>
      <c r="P78" s="12" t="n"/>
      <c r="Q78" s="12" t="n"/>
    </row>
    <row r="79" ht="15.6" customFormat="1" customHeight="1" s="8">
      <c r="A79" s="35" t="inlineStr">
        <is>
          <t>Wire drawing, copper</t>
        </is>
      </c>
      <c r="B79" s="44" t="n">
        <v>200</v>
      </c>
      <c r="C79" s="35" t="inlineStr">
        <is>
          <t>Wire drawing, copper</t>
        </is>
      </c>
      <c r="D79" s="35" t="inlineStr">
        <is>
          <t>RER</t>
        </is>
      </c>
      <c r="E79" s="35" t="inlineStr">
        <is>
          <t>kilogram</t>
        </is>
      </c>
      <c r="F79" s="35" t="n"/>
      <c r="G79" s="35" t="inlineStr">
        <is>
          <t>technosphere</t>
        </is>
      </c>
      <c r="H79" s="35" t="inlineStr">
        <is>
          <t>bafu</t>
        </is>
      </c>
      <c r="I79" s="47" t="inlineStr">
        <is>
          <t>power electronics (rectifier, voltage adaption)</t>
        </is>
      </c>
      <c r="L79" s="12" t="n"/>
      <c r="M79" s="12" t="n"/>
      <c r="N79" s="12" t="n"/>
      <c r="O79" s="12" t="n"/>
      <c r="P79" s="12" t="n"/>
      <c r="Q79" s="12" t="n"/>
    </row>
    <row r="80" ht="15.6" customFormat="1" customHeight="1" s="8">
      <c r="A80" s="35" t="inlineStr">
        <is>
          <t>Electronics for control units</t>
        </is>
      </c>
      <c r="B80" s="44" t="n">
        <v>100</v>
      </c>
      <c r="C80" s="35" t="inlineStr">
        <is>
          <t>Electronics for control units</t>
        </is>
      </c>
      <c r="D80" s="35" t="inlineStr">
        <is>
          <t>RER</t>
        </is>
      </c>
      <c r="E80" s="35" t="inlineStr">
        <is>
          <t>kilogram</t>
        </is>
      </c>
      <c r="F80" s="35" t="n"/>
      <c r="G80" s="35" t="inlineStr">
        <is>
          <t>technosphere</t>
        </is>
      </c>
      <c r="H80" s="35" t="inlineStr">
        <is>
          <t>bafu</t>
        </is>
      </c>
      <c r="I80" s="34" t="inlineStr">
        <is>
          <t>control panels/electronics</t>
        </is>
      </c>
      <c r="L80" s="12" t="n"/>
      <c r="M80" s="12" t="n"/>
      <c r="N80" s="12" t="n"/>
      <c r="O80" s="12" t="n"/>
      <c r="P80" s="12" t="n"/>
      <c r="Q80" s="12" t="n"/>
    </row>
    <row r="81" ht="15.6" customFormat="1" customHeight="1" s="8">
      <c r="A81" s="35" t="inlineStr">
        <is>
          <t>Steel, low-alloyed, at plant</t>
        </is>
      </c>
      <c r="B81" s="44" t="n">
        <v>900</v>
      </c>
      <c r="C81" s="35" t="inlineStr">
        <is>
          <t>Steel, low-alloyed, at plant</t>
        </is>
      </c>
      <c r="D81" s="35" t="inlineStr">
        <is>
          <t>RER</t>
        </is>
      </c>
      <c r="E81" s="35" t="inlineStr">
        <is>
          <t>kilogram</t>
        </is>
      </c>
      <c r="F81" s="35" t="n"/>
      <c r="G81" s="35" t="inlineStr">
        <is>
          <t>technosphere</t>
        </is>
      </c>
      <c r="H81" s="35" t="inlineStr">
        <is>
          <t>bafu</t>
        </is>
      </c>
      <c r="I81" s="34" t="inlineStr">
        <is>
          <t>tubing and pump</t>
        </is>
      </c>
      <c r="L81" s="12" t="n"/>
      <c r="M81" s="12" t="n"/>
      <c r="N81" s="12" t="n"/>
      <c r="O81" s="12" t="n"/>
      <c r="P81" s="12" t="n"/>
      <c r="Q81" s="12" t="n"/>
    </row>
    <row r="82" ht="15.6" customFormat="1" customHeight="1" s="8">
      <c r="A82" s="35" t="inlineStr">
        <is>
          <t>Sheet rolling, steel</t>
        </is>
      </c>
      <c r="B82" s="44" t="n">
        <v>900</v>
      </c>
      <c r="C82" s="35" t="inlineStr">
        <is>
          <t>Sheet rolling, steel</t>
        </is>
      </c>
      <c r="D82" s="35" t="inlineStr">
        <is>
          <t>RER</t>
        </is>
      </c>
      <c r="E82" s="35" t="inlineStr">
        <is>
          <t>kilogram</t>
        </is>
      </c>
      <c r="F82" s="35" t="n"/>
      <c r="G82" s="35" t="inlineStr">
        <is>
          <t>technosphere</t>
        </is>
      </c>
      <c r="H82" s="35" t="inlineStr">
        <is>
          <t>bafu</t>
        </is>
      </c>
      <c r="I82" s="34" t="inlineStr">
        <is>
          <t>tubing and pump</t>
        </is>
      </c>
      <c r="L82" s="12" t="n"/>
      <c r="M82" s="12" t="n"/>
      <c r="N82" s="12" t="n"/>
      <c r="O82" s="12" t="n"/>
      <c r="P82" s="12" t="n"/>
      <c r="Q82" s="12" t="n"/>
    </row>
    <row r="83" ht="15.6" customFormat="1" customHeight="1" s="8">
      <c r="A83" s="35" t="inlineStr">
        <is>
          <t>Sheet rolling, chromium steel</t>
        </is>
      </c>
      <c r="B83" s="44" t="n">
        <v>750</v>
      </c>
      <c r="C83" s="35" t="inlineStr">
        <is>
          <t>Sheet rolling, chromium steel</t>
        </is>
      </c>
      <c r="D83" s="35" t="inlineStr">
        <is>
          <t>RER</t>
        </is>
      </c>
      <c r="E83" s="35" t="inlineStr">
        <is>
          <t>kilogram</t>
        </is>
      </c>
      <c r="F83" s="35" t="n"/>
      <c r="G83" s="35" t="inlineStr">
        <is>
          <t>technosphere</t>
        </is>
      </c>
      <c r="H83" s="35" t="inlineStr">
        <is>
          <t>bafu</t>
        </is>
      </c>
      <c r="I83" s="34" t="inlineStr">
        <is>
          <t>steel construction element</t>
        </is>
      </c>
      <c r="L83" s="12" t="n"/>
      <c r="M83" s="12" t="n"/>
      <c r="N83" s="12" t="n"/>
      <c r="O83" s="12" t="n"/>
      <c r="P83" s="12" t="n"/>
      <c r="Q83" s="12" t="n"/>
    </row>
    <row r="84" ht="15.6" customFormat="1" customHeight="1" s="8">
      <c r="A84" s="35" t="inlineStr">
        <is>
          <t>Chromium steel 18/8, at plant</t>
        </is>
      </c>
      <c r="B84" s="44" t="n">
        <v>750</v>
      </c>
      <c r="C84" s="35" t="inlineStr">
        <is>
          <t>Chromium steel 18/8, at plant</t>
        </is>
      </c>
      <c r="D84" s="35" t="inlineStr">
        <is>
          <t>RER</t>
        </is>
      </c>
      <c r="E84" s="35" t="inlineStr">
        <is>
          <t>kilogram</t>
        </is>
      </c>
      <c r="F84" s="35" t="n"/>
      <c r="G84" s="35" t="inlineStr">
        <is>
          <t>technosphere</t>
        </is>
      </c>
      <c r="H84" s="35" t="inlineStr">
        <is>
          <t>bafu</t>
        </is>
      </c>
      <c r="I84" s="34" t="inlineStr">
        <is>
          <t>steel construction element</t>
        </is>
      </c>
      <c r="L84" s="12" t="n"/>
      <c r="M84" s="12" t="n"/>
      <c r="N84" s="12" t="n"/>
      <c r="O84" s="12" t="n"/>
      <c r="P84" s="12" t="n"/>
      <c r="Q84" s="12" t="n"/>
    </row>
    <row r="85" ht="15.6" customFormat="1" customHeight="1" s="8">
      <c r="A85" s="35" t="inlineStr">
        <is>
          <t>Aluminium, production mix, wrought alloy, at plant</t>
        </is>
      </c>
      <c r="B85" s="44" t="n">
        <v>100</v>
      </c>
      <c r="C85" s="35" t="inlineStr">
        <is>
          <t>Aluminium, production mix, wrought alloy, at plant</t>
        </is>
      </c>
      <c r="D85" s="35" t="inlineStr">
        <is>
          <t>RER</t>
        </is>
      </c>
      <c r="E85" s="35" t="inlineStr">
        <is>
          <t>kilogram</t>
        </is>
      </c>
      <c r="F85" s="35" t="n"/>
      <c r="G85" s="35" t="inlineStr">
        <is>
          <t>technosphere</t>
        </is>
      </c>
      <c r="H85" s="35" t="inlineStr">
        <is>
          <t>bafu</t>
        </is>
      </c>
      <c r="I85" s="34" t="inlineStr">
        <is>
          <t>Purification (De-Oxo) &amp; water treatment</t>
        </is>
      </c>
      <c r="L85" s="12" t="n"/>
      <c r="M85" s="12" t="n"/>
      <c r="N85" s="12" t="n"/>
      <c r="O85" s="12" t="n"/>
      <c r="P85" s="12" t="n"/>
      <c r="Q85" s="12" t="n"/>
    </row>
    <row r="86" ht="15.6" customFormat="1" customHeight="1" s="8">
      <c r="A86" s="35" t="inlineStr">
        <is>
          <t>Sheet rolling, aluminium</t>
        </is>
      </c>
      <c r="B86" s="44" t="n">
        <v>100</v>
      </c>
      <c r="C86" s="35" t="inlineStr">
        <is>
          <t>Sheet rolling, aluminium</t>
        </is>
      </c>
      <c r="D86" s="35" t="inlineStr">
        <is>
          <t>RER</t>
        </is>
      </c>
      <c r="E86" s="35" t="inlineStr">
        <is>
          <t>kilogram</t>
        </is>
      </c>
      <c r="F86" s="35" t="n"/>
      <c r="G86" s="35" t="inlineStr">
        <is>
          <t>technosphere</t>
        </is>
      </c>
      <c r="H86" s="35" t="inlineStr">
        <is>
          <t>bafu</t>
        </is>
      </c>
      <c r="I86" s="34" t="inlineStr">
        <is>
          <t>Purification (De-Oxo) &amp; water treatment</t>
        </is>
      </c>
      <c r="L86" s="12" t="n"/>
      <c r="M86" s="12" t="n"/>
      <c r="N86" s="12" t="n"/>
      <c r="O86" s="12" t="n"/>
      <c r="P86" s="12" t="n"/>
      <c r="Q86" s="12" t="n"/>
    </row>
    <row r="87" ht="15.6" customFormat="1" customHeight="1" s="8">
      <c r="A87" s="35" t="inlineStr">
        <is>
          <t>Copper, primary, at refinery</t>
        </is>
      </c>
      <c r="B87" s="44" t="n">
        <v>100</v>
      </c>
      <c r="C87" s="35" t="inlineStr">
        <is>
          <t>Copper, primary, at refinery</t>
        </is>
      </c>
      <c r="D87" s="35" t="inlineStr">
        <is>
          <t>GLO</t>
        </is>
      </c>
      <c r="E87" s="35" t="inlineStr">
        <is>
          <t>kilogram</t>
        </is>
      </c>
      <c r="F87" s="35" t="n"/>
      <c r="G87" s="35" t="inlineStr">
        <is>
          <t>technosphere</t>
        </is>
      </c>
      <c r="H87" s="35" t="inlineStr">
        <is>
          <t>bafu</t>
        </is>
      </c>
      <c r="I87" s="34" t="inlineStr">
        <is>
          <t>water-gas separator</t>
        </is>
      </c>
      <c r="L87" s="12" t="n"/>
      <c r="M87" s="12" t="n"/>
      <c r="N87" s="12" t="n"/>
      <c r="O87" s="12" t="n"/>
      <c r="P87" s="12" t="n"/>
      <c r="Q87" s="12" t="n"/>
    </row>
    <row r="88" ht="15.6" customFormat="1" customHeight="1" s="8">
      <c r="A88" s="35" t="inlineStr">
        <is>
          <t>Sheet rolling, copper</t>
        </is>
      </c>
      <c r="B88" s="44" t="n">
        <v>100</v>
      </c>
      <c r="C88" s="35" t="inlineStr">
        <is>
          <t>Sheet rolling, copper</t>
        </is>
      </c>
      <c r="D88" s="35" t="inlineStr">
        <is>
          <t>RER</t>
        </is>
      </c>
      <c r="E88" s="35" t="inlineStr">
        <is>
          <t>kilogram</t>
        </is>
      </c>
      <c r="F88" s="35" t="n"/>
      <c r="G88" s="35" t="inlineStr">
        <is>
          <t>technosphere</t>
        </is>
      </c>
      <c r="H88" s="35" t="inlineStr">
        <is>
          <t>bafu</t>
        </is>
      </c>
      <c r="I88" s="34" t="inlineStr">
        <is>
          <t>water-gas separator</t>
        </is>
      </c>
      <c r="L88" s="12" t="n"/>
      <c r="M88" s="12" t="n"/>
      <c r="N88" s="12" t="n"/>
      <c r="O88" s="12" t="n"/>
      <c r="P88" s="12" t="n"/>
      <c r="Q88" s="12" t="n"/>
    </row>
    <row r="89" ht="15.6" customFormat="1" customHeight="1" s="8">
      <c r="A89" s="35" t="inlineStr">
        <is>
          <t>Polypropylene, granulate, at plant</t>
        </is>
      </c>
      <c r="B89" s="44" t="n">
        <v>300</v>
      </c>
      <c r="C89" s="35" t="inlineStr">
        <is>
          <t>Polypropylene, granulate, at plant</t>
        </is>
      </c>
      <c r="D89" s="35" t="inlineStr">
        <is>
          <t>RER</t>
        </is>
      </c>
      <c r="E89" s="35" t="inlineStr">
        <is>
          <t>kilogram</t>
        </is>
      </c>
      <c r="F89" s="35" t="n"/>
      <c r="G89" s="35" t="inlineStr">
        <is>
          <t>technosphere</t>
        </is>
      </c>
      <c r="H89" s="35" t="inlineStr">
        <is>
          <t>bafu</t>
        </is>
      </c>
      <c r="I89" s="34" t="inlineStr">
        <is>
          <t>valve</t>
        </is>
      </c>
      <c r="L89" s="12" t="n"/>
      <c r="M89" s="12" t="n"/>
      <c r="N89" s="12" t="n"/>
      <c r="O89" s="12" t="n"/>
      <c r="P89" s="12" t="n"/>
      <c r="Q89" s="12" t="n"/>
    </row>
    <row r="90" ht="15.6" customFormat="1" customHeight="1" s="8">
      <c r="A90" s="35" t="inlineStr">
        <is>
          <t>Injection moulding</t>
        </is>
      </c>
      <c r="B90" s="44" t="n">
        <v>300</v>
      </c>
      <c r="C90" s="35" t="inlineStr">
        <is>
          <t>Injection moulding</t>
        </is>
      </c>
      <c r="D90" s="35" t="inlineStr">
        <is>
          <t>RER</t>
        </is>
      </c>
      <c r="E90" s="35" t="inlineStr">
        <is>
          <t>kilogram</t>
        </is>
      </c>
      <c r="F90" s="35" t="n"/>
      <c r="G90" s="35" t="inlineStr">
        <is>
          <t>technosphere</t>
        </is>
      </c>
      <c r="H90" s="35" t="inlineStr">
        <is>
          <t>bafu</t>
        </is>
      </c>
      <c r="I90" s="34" t="inlineStr">
        <is>
          <t>valve</t>
        </is>
      </c>
      <c r="L90" s="12" t="n"/>
      <c r="M90" s="12" t="n"/>
      <c r="N90" s="12" t="n"/>
      <c r="O90" s="12" t="n"/>
      <c r="P90" s="12" t="n"/>
      <c r="Q90" s="12" t="n"/>
    </row>
    <row r="91" ht="15.6" customFormat="1" customHeight="1" s="8">
      <c r="A91" s="35" t="inlineStr">
        <is>
          <t>Lubricating oil, at plant</t>
        </is>
      </c>
      <c r="B91" s="44" t="n">
        <v>100</v>
      </c>
      <c r="C91" s="35" t="inlineStr">
        <is>
          <t>Lubricating oil, at plant</t>
        </is>
      </c>
      <c r="D91" s="35" t="inlineStr">
        <is>
          <t>RER</t>
        </is>
      </c>
      <c r="E91" s="35" t="inlineStr">
        <is>
          <t>kilogram</t>
        </is>
      </c>
      <c r="F91" s="35" t="n"/>
      <c r="G91" s="35" t="inlineStr">
        <is>
          <t>technosphere</t>
        </is>
      </c>
      <c r="H91" s="35" t="inlineStr">
        <is>
          <t>bafu</t>
        </is>
      </c>
      <c r="I91" s="34" t="inlineStr">
        <is>
          <t>back-pressure regulator</t>
        </is>
      </c>
      <c r="L91" s="12" t="n"/>
      <c r="M91" s="12" t="n"/>
      <c r="N91" s="12" t="n"/>
      <c r="O91" s="12" t="n"/>
      <c r="P91" s="12" t="n"/>
      <c r="Q91" s="12" t="n"/>
    </row>
    <row r="92" ht="15.6" customFormat="1" customHeight="1" s="8">
      <c r="A92" s="35" t="inlineStr">
        <is>
          <t>Zeolite, powder, at plant</t>
        </is>
      </c>
      <c r="B92" s="44" t="n">
        <v>100</v>
      </c>
      <c r="C92" s="35" t="inlineStr">
        <is>
          <t>Zeolite, powder, at plant</t>
        </is>
      </c>
      <c r="D92" s="35" t="inlineStr">
        <is>
          <t>RER</t>
        </is>
      </c>
      <c r="E92" s="35" t="inlineStr">
        <is>
          <t>kilogram</t>
        </is>
      </c>
      <c r="F92" s="35" t="n"/>
      <c r="G92" s="35" t="inlineStr">
        <is>
          <t>technosphere</t>
        </is>
      </c>
      <c r="H92" s="35" t="inlineStr">
        <is>
          <t>bafu</t>
        </is>
      </c>
      <c r="I92" s="34" t="inlineStr">
        <is>
          <t>ion exchanger</t>
        </is>
      </c>
      <c r="L92" s="12" t="n"/>
      <c r="M92" s="12" t="n"/>
      <c r="N92" s="12" t="n"/>
      <c r="O92" s="12" t="n"/>
      <c r="P92" s="12" t="n"/>
      <c r="Q92" s="12" t="n"/>
    </row>
    <row r="93" ht="15.6" customFormat="1" customHeight="1" s="8">
      <c r="A93" s="35" t="inlineStr">
        <is>
          <t>Sheet rolling, chromium steel</t>
        </is>
      </c>
      <c r="B93" s="44" t="n">
        <v>1161</v>
      </c>
      <c r="C93" s="35" t="inlineStr">
        <is>
          <t>Sheet rolling, chromium steel</t>
        </is>
      </c>
      <c r="D93" s="35" t="inlineStr">
        <is>
          <t>RER</t>
        </is>
      </c>
      <c r="E93" s="35" t="inlineStr">
        <is>
          <t>kilogram</t>
        </is>
      </c>
      <c r="F93" s="35" t="n"/>
      <c r="G93" s="35" t="inlineStr">
        <is>
          <t>technosphere</t>
        </is>
      </c>
      <c r="H93" s="35" t="inlineStr">
        <is>
          <t>bafu</t>
        </is>
      </c>
      <c r="I93" s="34" t="inlineStr">
        <is>
          <t>heat exchanger</t>
        </is>
      </c>
      <c r="L93" s="12" t="n"/>
      <c r="M93" s="12" t="n"/>
      <c r="N93" s="12" t="n"/>
      <c r="O93" s="12" t="n"/>
      <c r="P93" s="12" t="n"/>
      <c r="Q93" s="12" t="n"/>
    </row>
    <row r="94" ht="15.6" customFormat="1" customHeight="1" s="8">
      <c r="A94" s="35" t="inlineStr">
        <is>
          <t>Chromium steel 18/8, at plant</t>
        </is>
      </c>
      <c r="B94" s="44" t="n">
        <v>1161</v>
      </c>
      <c r="C94" s="35" t="inlineStr">
        <is>
          <t>Chromium steel 18/8, at plant</t>
        </is>
      </c>
      <c r="D94" s="35" t="inlineStr">
        <is>
          <t>RER</t>
        </is>
      </c>
      <c r="E94" s="35" t="inlineStr">
        <is>
          <t>kilogram</t>
        </is>
      </c>
      <c r="F94" s="35" t="n"/>
      <c r="G94" s="35" t="inlineStr">
        <is>
          <t>technosphere</t>
        </is>
      </c>
      <c r="H94" s="35" t="inlineStr">
        <is>
          <t>bafu</t>
        </is>
      </c>
      <c r="I94" s="34" t="inlineStr">
        <is>
          <t>heat exchanger</t>
        </is>
      </c>
      <c r="L94" s="12" t="n"/>
      <c r="M94" s="12" t="n"/>
      <c r="N94" s="12" t="n"/>
      <c r="O94" s="12" t="n"/>
      <c r="P94" s="12" t="n"/>
      <c r="Q94" s="12" t="n"/>
    </row>
    <row r="95" ht="15.6" customFormat="1" customHeight="1" s="8">
      <c r="A95" s="35" t="inlineStr">
        <is>
          <t>Extrusion, plastic pipes</t>
        </is>
      </c>
      <c r="B95" s="44" t="n">
        <v>464.6</v>
      </c>
      <c r="C95" s="35" t="inlineStr">
        <is>
          <t>Extrusion, plastic pipes</t>
        </is>
      </c>
      <c r="D95" s="35" t="inlineStr">
        <is>
          <t>RER</t>
        </is>
      </c>
      <c r="E95" s="35" t="inlineStr">
        <is>
          <t>kilogram</t>
        </is>
      </c>
      <c r="F95" s="35" t="n"/>
      <c r="G95" s="35" t="inlineStr">
        <is>
          <t>technosphere</t>
        </is>
      </c>
      <c r="H95" s="35" t="inlineStr">
        <is>
          <t>bafu</t>
        </is>
      </c>
      <c r="I95" s="34" t="inlineStr">
        <is>
          <t>water purifier and feed tank</t>
        </is>
      </c>
      <c r="L95" s="12" t="n"/>
      <c r="M95" s="12" t="n"/>
      <c r="N95" s="12" t="n"/>
      <c r="O95" s="12" t="n"/>
      <c r="P95" s="12" t="n"/>
      <c r="Q95" s="12" t="n"/>
    </row>
    <row r="96" ht="15.6" customFormat="1" customHeight="1" s="8">
      <c r="A96" s="35" t="inlineStr">
        <is>
          <t>Polyethylene, LDPE, granulate, at plant</t>
        </is>
      </c>
      <c r="B96" s="44" t="n">
        <v>464.6</v>
      </c>
      <c r="C96" s="35" t="inlineStr">
        <is>
          <t>Polyethylene, LDPE, granulate, at plant</t>
        </is>
      </c>
      <c r="D96" s="35" t="inlineStr">
        <is>
          <t>RER</t>
        </is>
      </c>
      <c r="E96" s="35" t="inlineStr">
        <is>
          <t>kilogram</t>
        </is>
      </c>
      <c r="F96" s="35" t="n"/>
      <c r="G96" s="35" t="inlineStr">
        <is>
          <t>technosphere</t>
        </is>
      </c>
      <c r="H96" s="35" t="inlineStr">
        <is>
          <t>bafu</t>
        </is>
      </c>
      <c r="I96" s="34" t="inlineStr">
        <is>
          <t>water purifier and feed tank</t>
        </is>
      </c>
      <c r="L96" s="12" t="n"/>
      <c r="M96" s="12" t="n"/>
      <c r="N96" s="12" t="n"/>
      <c r="O96" s="12" t="n"/>
      <c r="P96" s="12" t="n"/>
      <c r="Q96" s="12" t="n"/>
    </row>
    <row r="97" ht="15.6" customFormat="1" customHeight="1" s="8">
      <c r="A97" s="35" t="inlineStr">
        <is>
          <t>Reinforcing steel, at plant</t>
        </is>
      </c>
      <c r="B97" s="44" t="n">
        <v>232.3</v>
      </c>
      <c r="C97" s="35" t="inlineStr">
        <is>
          <t>Reinforcing steel, at plant</t>
        </is>
      </c>
      <c r="D97" s="35" t="inlineStr">
        <is>
          <t>RER</t>
        </is>
      </c>
      <c r="E97" s="35" t="inlineStr">
        <is>
          <t>kilogram</t>
        </is>
      </c>
      <c r="F97" s="35" t="n"/>
      <c r="G97" s="35" t="inlineStr">
        <is>
          <t>technosphere</t>
        </is>
      </c>
      <c r="H97" s="35" t="inlineStr">
        <is>
          <t>bafu</t>
        </is>
      </c>
      <c r="I97" s="34" t="inlineStr">
        <is>
          <t>water purifier and feed tank</t>
        </is>
      </c>
      <c r="L97" s="12" t="n"/>
      <c r="M97" s="12" t="n"/>
      <c r="N97" s="12" t="n"/>
      <c r="O97" s="12" t="n"/>
      <c r="P97" s="12" t="n"/>
      <c r="Q97" s="12" t="n"/>
    </row>
    <row r="98" ht="15.6" customFormat="1" customHeight="1" s="8">
      <c r="A98" s="35" t="inlineStr">
        <is>
          <t>Sheet rolling, steel</t>
        </is>
      </c>
      <c r="B98" s="44" t="n">
        <v>232.3</v>
      </c>
      <c r="C98" s="35" t="inlineStr">
        <is>
          <t>Sheet rolling, steel</t>
        </is>
      </c>
      <c r="D98" s="35" t="inlineStr">
        <is>
          <t>RER</t>
        </is>
      </c>
      <c r="E98" s="35" t="inlineStr">
        <is>
          <t>kilogram</t>
        </is>
      </c>
      <c r="F98" s="35" t="n"/>
      <c r="G98" s="35" t="inlineStr">
        <is>
          <t>technosphere</t>
        </is>
      </c>
      <c r="H98" s="35" t="inlineStr">
        <is>
          <t>bafu</t>
        </is>
      </c>
      <c r="I98" s="34" t="inlineStr">
        <is>
          <t>water purifier and feed tank</t>
        </is>
      </c>
      <c r="L98" s="12" t="n"/>
      <c r="M98" s="12" t="n"/>
      <c r="N98" s="12" t="n"/>
      <c r="O98" s="12" t="n"/>
      <c r="P98" s="12" t="n"/>
      <c r="Q98" s="12" t="n"/>
    </row>
    <row r="99" ht="15.6" customFormat="1" customHeight="1" s="8">
      <c r="A99" s="35" t="inlineStr">
        <is>
          <t>Aluminium, production mix, wrought alloy, at plant</t>
        </is>
      </c>
      <c r="B99" s="44" t="n">
        <v>60</v>
      </c>
      <c r="C99" s="35" t="inlineStr">
        <is>
          <t>Aluminium, production mix, wrought alloy, at plant</t>
        </is>
      </c>
      <c r="D99" s="35" t="inlineStr">
        <is>
          <t>RER</t>
        </is>
      </c>
      <c r="E99" s="35" t="inlineStr">
        <is>
          <t>kilogram</t>
        </is>
      </c>
      <c r="F99" s="35" t="n"/>
      <c r="G99" s="35" t="inlineStr">
        <is>
          <t>technosphere</t>
        </is>
      </c>
      <c r="H99" s="35" t="inlineStr">
        <is>
          <t>bafu</t>
        </is>
      </c>
      <c r="I99" s="34" t="inlineStr">
        <is>
          <t>frequency converter, diaphragm compressor</t>
        </is>
      </c>
      <c r="L99" s="12" t="n"/>
      <c r="M99" s="12" t="n"/>
      <c r="N99" s="12" t="n"/>
      <c r="O99" s="12" t="n"/>
      <c r="P99" s="12" t="n"/>
      <c r="Q99" s="12" t="n"/>
    </row>
    <row r="100" ht="15.6" customFormat="1" customHeight="1" s="8">
      <c r="A100" s="35" t="inlineStr">
        <is>
          <t>Copper, primary, at refinery</t>
        </is>
      </c>
      <c r="B100" s="44" t="n">
        <v>45</v>
      </c>
      <c r="C100" s="35" t="inlineStr">
        <is>
          <t>Copper, primary, at refinery</t>
        </is>
      </c>
      <c r="D100" s="35" t="inlineStr">
        <is>
          <t>GLO</t>
        </is>
      </c>
      <c r="E100" s="35" t="inlineStr">
        <is>
          <t>kilogram</t>
        </is>
      </c>
      <c r="F100" s="35" t="n"/>
      <c r="G100" s="35" t="inlineStr">
        <is>
          <t>technosphere</t>
        </is>
      </c>
      <c r="H100" s="35" t="inlineStr">
        <is>
          <t>bafu</t>
        </is>
      </c>
      <c r="I100" s="34" t="inlineStr">
        <is>
          <t>frequency converter, diaphragm compressor</t>
        </is>
      </c>
      <c r="L100" s="12" t="n"/>
      <c r="M100" s="12" t="n"/>
      <c r="N100" s="12" t="n"/>
      <c r="O100" s="12" t="n"/>
      <c r="P100" s="12" t="n"/>
      <c r="Q100" s="12" t="n"/>
    </row>
    <row r="101" ht="15.6" customFormat="1" customHeight="1" s="8">
      <c r="A101" s="35" t="inlineStr">
        <is>
          <t>Reinforcing steel, at plant</t>
        </is>
      </c>
      <c r="B101" s="44" t="n">
        <v>180</v>
      </c>
      <c r="C101" s="35" t="inlineStr">
        <is>
          <t>Reinforcing steel, at plant</t>
        </is>
      </c>
      <c r="D101" s="35" t="inlineStr">
        <is>
          <t>RER</t>
        </is>
      </c>
      <c r="E101" s="35" t="inlineStr">
        <is>
          <t>kilogram</t>
        </is>
      </c>
      <c r="F101" s="35" t="n"/>
      <c r="G101" s="35" t="inlineStr">
        <is>
          <t>technosphere</t>
        </is>
      </c>
      <c r="H101" s="35" t="inlineStr">
        <is>
          <t>bafu</t>
        </is>
      </c>
      <c r="I101" s="34" t="inlineStr">
        <is>
          <t>frequency converter, diaphragm compressor</t>
        </is>
      </c>
      <c r="L101" s="12" t="n"/>
      <c r="M101" s="12" t="n"/>
      <c r="N101" s="12" t="n"/>
      <c r="O101" s="12" t="n"/>
      <c r="P101" s="12" t="n"/>
      <c r="Q101" s="12" t="n"/>
    </row>
    <row r="102" ht="15.6" customFormat="1" customHeight="1" s="8">
      <c r="A102" s="35" t="inlineStr">
        <is>
          <t>Tube insulation, elastomere, at plant</t>
        </is>
      </c>
      <c r="B102" s="44" t="n">
        <v>15</v>
      </c>
      <c r="C102" s="35" t="inlineStr">
        <is>
          <t>Tube insulation, elastomere, at plant</t>
        </is>
      </c>
      <c r="D102" s="35" t="inlineStr">
        <is>
          <t>DE</t>
        </is>
      </c>
      <c r="E102" s="35" t="inlineStr">
        <is>
          <t>kilogram</t>
        </is>
      </c>
      <c r="F102" s="35" t="n"/>
      <c r="G102" s="35" t="inlineStr">
        <is>
          <t>technosphere</t>
        </is>
      </c>
      <c r="H102" s="35" t="inlineStr">
        <is>
          <t>bafu</t>
        </is>
      </c>
      <c r="I102" s="34" t="inlineStr">
        <is>
          <t>frequency converter, diaphragm compressor</t>
        </is>
      </c>
      <c r="L102" s="12" t="n"/>
      <c r="M102" s="12" t="n"/>
      <c r="N102" s="12" t="n"/>
      <c r="O102" s="12" t="n"/>
      <c r="P102" s="12" t="n"/>
      <c r="Q102" s="12" t="n"/>
    </row>
    <row r="103" ht="15.6" customFormat="1" customHeight="1" s="8">
      <c r="A103" s="35" t="inlineStr">
        <is>
          <t>Wire drawing, copper</t>
        </is>
      </c>
      <c r="B103" s="44" t="n">
        <v>45</v>
      </c>
      <c r="C103" s="35" t="inlineStr">
        <is>
          <t>Wire drawing, copper</t>
        </is>
      </c>
      <c r="D103" s="35" t="inlineStr">
        <is>
          <t>RER</t>
        </is>
      </c>
      <c r="E103" s="35" t="inlineStr">
        <is>
          <t>kilogram</t>
        </is>
      </c>
      <c r="F103" s="35" t="n"/>
      <c r="G103" s="35" t="inlineStr">
        <is>
          <t>technosphere</t>
        </is>
      </c>
      <c r="H103" s="35" t="inlineStr">
        <is>
          <t>bafu</t>
        </is>
      </c>
      <c r="I103" s="34" t="inlineStr">
        <is>
          <t>frequency converter, diaphragm compressor</t>
        </is>
      </c>
      <c r="L103" s="12" t="n"/>
      <c r="M103" s="12" t="n"/>
      <c r="N103" s="12" t="n"/>
      <c r="O103" s="12" t="n"/>
      <c r="P103" s="12" t="n"/>
      <c r="Q103" s="12" t="n"/>
    </row>
    <row r="104" ht="15.6" customFormat="1" customHeight="1" s="8">
      <c r="A104" s="35" t="inlineStr">
        <is>
          <t>Cast iron, at plant</t>
        </is>
      </c>
      <c r="B104" s="44" t="n">
        <v>600</v>
      </c>
      <c r="C104" s="35" t="inlineStr">
        <is>
          <t>Cast iron, at plant</t>
        </is>
      </c>
      <c r="D104" s="35" t="inlineStr">
        <is>
          <t>RER</t>
        </is>
      </c>
      <c r="E104" s="35" t="inlineStr">
        <is>
          <t>kilogram</t>
        </is>
      </c>
      <c r="F104" s="35" t="n"/>
      <c r="G104" s="35" t="inlineStr">
        <is>
          <t>technosphere</t>
        </is>
      </c>
      <c r="H104" s="35" t="inlineStr">
        <is>
          <t>bafu</t>
        </is>
      </c>
      <c r="I104" s="34" t="inlineStr">
        <is>
          <t>diaphragm for diaphragm compressor</t>
        </is>
      </c>
      <c r="L104" s="12" t="n"/>
      <c r="M104" s="12" t="n"/>
      <c r="N104" s="12" t="n"/>
      <c r="O104" s="12" t="n"/>
      <c r="P104" s="12" t="n"/>
      <c r="Q104" s="12" t="n"/>
    </row>
    <row r="105" ht="15.6" customFormat="1" customHeight="1" s="8">
      <c r="A105" s="35" t="inlineStr">
        <is>
          <t>Ethylene glycol, at plant</t>
        </is>
      </c>
      <c r="B105" s="44" t="n">
        <v>7</v>
      </c>
      <c r="C105" s="35" t="inlineStr">
        <is>
          <t>Ethylene glycol, at plant</t>
        </is>
      </c>
      <c r="D105" s="35" t="inlineStr">
        <is>
          <t>RER</t>
        </is>
      </c>
      <c r="E105" s="35" t="inlineStr">
        <is>
          <t>kilogram</t>
        </is>
      </c>
      <c r="F105" s="35" t="n"/>
      <c r="G105" s="35" t="inlineStr">
        <is>
          <t>technosphere</t>
        </is>
      </c>
      <c r="H105" s="35" t="inlineStr">
        <is>
          <t>bafu</t>
        </is>
      </c>
      <c r="I105" s="34" t="inlineStr">
        <is>
          <t>diaphragm for diaphragm compressor</t>
        </is>
      </c>
      <c r="L105" s="12" t="n"/>
      <c r="M105" s="12" t="n"/>
      <c r="N105" s="12" t="n"/>
      <c r="O105" s="12" t="n"/>
      <c r="P105" s="12" t="n"/>
      <c r="Q105" s="12" t="n"/>
    </row>
    <row r="106" ht="15.6" customFormat="1" customHeight="1" s="8">
      <c r="A106" s="35" t="inlineStr">
        <is>
          <t>Reinforcing steel, at plant</t>
        </is>
      </c>
      <c r="B106" s="44" t="n">
        <v>1300</v>
      </c>
      <c r="C106" s="35" t="inlineStr">
        <is>
          <t>Reinforcing steel, at plant</t>
        </is>
      </c>
      <c r="D106" s="35" t="inlineStr">
        <is>
          <t>RER</t>
        </is>
      </c>
      <c r="E106" s="35" t="inlineStr">
        <is>
          <t>kilogram</t>
        </is>
      </c>
      <c r="F106" s="35" t="n"/>
      <c r="G106" s="35" t="inlineStr">
        <is>
          <t>technosphere</t>
        </is>
      </c>
      <c r="H106" s="35" t="inlineStr">
        <is>
          <t>bafu</t>
        </is>
      </c>
      <c r="I106" s="34" t="inlineStr">
        <is>
          <t>diaphragm for diaphragm compressor</t>
        </is>
      </c>
      <c r="L106" s="12" t="n"/>
      <c r="M106" s="12" t="n"/>
      <c r="N106" s="12" t="n"/>
      <c r="O106" s="12" t="n"/>
      <c r="P106" s="12" t="n"/>
      <c r="Q106" s="12" t="n"/>
    </row>
    <row r="107" ht="15.6" customFormat="1" customHeight="1" s="8">
      <c r="A107" s="35" t="inlineStr">
        <is>
          <t>Sheet rolling, chromium steel</t>
        </is>
      </c>
      <c r="B107" s="44" t="n">
        <v>405</v>
      </c>
      <c r="C107" s="35" t="inlineStr">
        <is>
          <t>Sheet rolling, chromium steel</t>
        </is>
      </c>
      <c r="D107" s="35" t="inlineStr">
        <is>
          <t>RER</t>
        </is>
      </c>
      <c r="E107" s="35" t="inlineStr">
        <is>
          <t>kilogram</t>
        </is>
      </c>
      <c r="F107" s="35" t="n"/>
      <c r="G107" s="35" t="inlineStr">
        <is>
          <t>technosphere</t>
        </is>
      </c>
      <c r="H107" s="35" t="inlineStr">
        <is>
          <t>bafu</t>
        </is>
      </c>
      <c r="I107" s="34" t="inlineStr">
        <is>
          <t>diaphragm for diaphragm compressor</t>
        </is>
      </c>
      <c r="L107" s="12" t="n"/>
      <c r="M107" s="12" t="n"/>
      <c r="N107" s="12" t="n"/>
      <c r="O107" s="12" t="n"/>
      <c r="P107" s="12" t="n"/>
      <c r="Q107" s="12" t="n"/>
    </row>
    <row r="108" ht="15.6" customFormat="1" customHeight="1" s="8">
      <c r="A108" s="35" t="inlineStr">
        <is>
          <t>Sheet rolling, steel</t>
        </is>
      </c>
      <c r="B108" s="44" t="n">
        <v>400</v>
      </c>
      <c r="C108" s="35" t="inlineStr">
        <is>
          <t>Sheet rolling, steel</t>
        </is>
      </c>
      <c r="D108" s="35" t="inlineStr">
        <is>
          <t>RER</t>
        </is>
      </c>
      <c r="E108" s="35" t="inlineStr">
        <is>
          <t>kilogram</t>
        </is>
      </c>
      <c r="F108" s="35" t="n"/>
      <c r="G108" s="35" t="inlineStr">
        <is>
          <t>technosphere</t>
        </is>
      </c>
      <c r="H108" s="35" t="inlineStr">
        <is>
          <t>bafu</t>
        </is>
      </c>
      <c r="I108" s="34" t="inlineStr">
        <is>
          <t>diaphragm for diaphragm compressor</t>
        </is>
      </c>
      <c r="L108" s="12" t="n"/>
      <c r="M108" s="12" t="n"/>
      <c r="N108" s="12" t="n"/>
      <c r="O108" s="12" t="n"/>
      <c r="P108" s="12" t="n"/>
      <c r="Q108" s="12" t="n"/>
    </row>
    <row r="109" ht="15.6" customFormat="1" customHeight="1" s="8">
      <c r="A109" s="35" t="inlineStr">
        <is>
          <t>Chromium steel 18/8, at plant</t>
        </is>
      </c>
      <c r="B109" s="44" t="n">
        <v>405</v>
      </c>
      <c r="C109" s="35" t="inlineStr">
        <is>
          <t>Chromium steel 18/8, at plant</t>
        </is>
      </c>
      <c r="D109" s="35" t="inlineStr">
        <is>
          <t>RER</t>
        </is>
      </c>
      <c r="E109" s="35" t="inlineStr">
        <is>
          <t>kilogram</t>
        </is>
      </c>
      <c r="F109" s="35" t="n"/>
      <c r="G109" s="35" t="inlineStr">
        <is>
          <t>technosphere</t>
        </is>
      </c>
      <c r="H109" s="35" t="inlineStr">
        <is>
          <t>bafu</t>
        </is>
      </c>
      <c r="I109" s="34" t="inlineStr">
        <is>
          <t>diaphragm for diaphragm compressor</t>
        </is>
      </c>
      <c r="L109" s="12" t="n"/>
      <c r="M109" s="12" t="n"/>
      <c r="N109" s="12" t="n"/>
      <c r="O109" s="12" t="n"/>
      <c r="P109" s="12" t="n"/>
      <c r="Q109" s="12" t="n"/>
    </row>
    <row r="110" ht="15.6" customFormat="1" customHeight="1" s="8">
      <c r="A110" s="35" t="inlineStr">
        <is>
          <t>Reinforcing steel, at plant</t>
        </is>
      </c>
      <c r="B110" s="44" t="n">
        <v>1000</v>
      </c>
      <c r="C110" s="35" t="inlineStr">
        <is>
          <t>Reinforcing steel, at plant</t>
        </is>
      </c>
      <c r="D110" s="35" t="inlineStr">
        <is>
          <t>RER</t>
        </is>
      </c>
      <c r="E110" s="35" t="inlineStr">
        <is>
          <t>kilogram</t>
        </is>
      </c>
      <c r="F110" s="35" t="n"/>
      <c r="G110" s="35" t="inlineStr">
        <is>
          <t>technosphere</t>
        </is>
      </c>
      <c r="H110" s="35" t="inlineStr">
        <is>
          <t>bafu</t>
        </is>
      </c>
      <c r="I110" s="34" t="inlineStr">
        <is>
          <t>container with pipes and fittings for compressor</t>
        </is>
      </c>
      <c r="L110" s="12" t="n"/>
      <c r="M110" s="12" t="n"/>
      <c r="N110" s="12" t="n"/>
      <c r="O110" s="12" t="n"/>
      <c r="P110" s="12" t="n"/>
      <c r="Q110" s="12" t="n"/>
    </row>
    <row r="111" ht="15.6" customFormat="1" customHeight="1" s="8">
      <c r="A111" s="35" t="inlineStr">
        <is>
          <t>Sheet rolling, chromium steel</t>
        </is>
      </c>
      <c r="B111" s="44" t="n">
        <v>1500</v>
      </c>
      <c r="C111" s="35" t="inlineStr">
        <is>
          <t>Sheet rolling, chromium steel</t>
        </is>
      </c>
      <c r="D111" s="35" t="inlineStr">
        <is>
          <t>RER</t>
        </is>
      </c>
      <c r="E111" s="35" t="inlineStr">
        <is>
          <t>kilogram</t>
        </is>
      </c>
      <c r="F111" s="35" t="n"/>
      <c r="G111" s="35" t="inlineStr">
        <is>
          <t>technosphere</t>
        </is>
      </c>
      <c r="H111" s="35" t="inlineStr">
        <is>
          <t>bafu</t>
        </is>
      </c>
      <c r="I111" s="34" t="inlineStr">
        <is>
          <t>container with pipes and fittings for compressor</t>
        </is>
      </c>
      <c r="L111" s="12" t="n"/>
      <c r="M111" s="12" t="n"/>
      <c r="N111" s="12" t="n"/>
      <c r="O111" s="12" t="n"/>
      <c r="P111" s="12" t="n"/>
      <c r="Q111" s="12" t="n"/>
    </row>
    <row r="112" ht="15.6" customFormat="1" customHeight="1" s="8">
      <c r="A112" s="35" t="inlineStr">
        <is>
          <t>Sheet rolling, steel</t>
        </is>
      </c>
      <c r="B112" s="44" t="n">
        <v>1000</v>
      </c>
      <c r="C112" s="35" t="inlineStr">
        <is>
          <t>Sheet rolling, steel</t>
        </is>
      </c>
      <c r="D112" s="35" t="inlineStr">
        <is>
          <t>RER</t>
        </is>
      </c>
      <c r="E112" s="35" t="inlineStr">
        <is>
          <t>kilogram</t>
        </is>
      </c>
      <c r="F112" s="35" t="n"/>
      <c r="G112" s="35" t="inlineStr">
        <is>
          <t>technosphere</t>
        </is>
      </c>
      <c r="H112" s="35" t="inlineStr">
        <is>
          <t>bafu</t>
        </is>
      </c>
      <c r="I112" s="34" t="inlineStr">
        <is>
          <t>container with pipes and fittings for compressor</t>
        </is>
      </c>
      <c r="L112" s="12" t="n"/>
      <c r="M112" s="12" t="n"/>
      <c r="N112" s="12" t="n"/>
      <c r="O112" s="12" t="n"/>
      <c r="P112" s="12" t="n"/>
      <c r="Q112" s="12" t="n"/>
    </row>
    <row r="113" ht="15.6" customFormat="1" customHeight="1" s="8">
      <c r="A113" s="35" t="inlineStr">
        <is>
          <t>Chromium steel 18/8, at plant</t>
        </is>
      </c>
      <c r="B113" s="44" t="n">
        <v>1500</v>
      </c>
      <c r="C113" s="35" t="inlineStr">
        <is>
          <t>Chromium steel 18/8, at plant</t>
        </is>
      </c>
      <c r="D113" s="35" t="inlineStr">
        <is>
          <t>RER</t>
        </is>
      </c>
      <c r="E113" s="35" t="inlineStr">
        <is>
          <t>kilogram</t>
        </is>
      </c>
      <c r="F113" s="35" t="n"/>
      <c r="G113" s="35" t="inlineStr">
        <is>
          <t>technosphere</t>
        </is>
      </c>
      <c r="H113" s="35" t="inlineStr">
        <is>
          <t>bafu</t>
        </is>
      </c>
      <c r="I113" s="34" t="inlineStr">
        <is>
          <t>container with pipes and fittings for compressor</t>
        </is>
      </c>
      <c r="L113" s="12" t="n"/>
      <c r="M113" s="12" t="n"/>
      <c r="N113" s="12" t="n"/>
      <c r="O113" s="12" t="n"/>
      <c r="P113" s="12" t="n"/>
      <c r="Q113" s="12" t="n"/>
    </row>
    <row r="114" ht="15.6" customFormat="1" customHeight="1" s="8">
      <c r="A114" s="35" t="inlineStr">
        <is>
          <t>Sheet rolling, chromium steel</t>
        </is>
      </c>
      <c r="B114" s="44" t="n">
        <v>511</v>
      </c>
      <c r="C114" s="35" t="inlineStr">
        <is>
          <t>Sheet rolling, chromium steel</t>
        </is>
      </c>
      <c r="D114" s="35" t="inlineStr">
        <is>
          <t>RER</t>
        </is>
      </c>
      <c r="E114" s="35" t="inlineStr">
        <is>
          <t>kilogram</t>
        </is>
      </c>
      <c r="F114" s="35" t="n"/>
      <c r="G114" s="35" t="inlineStr">
        <is>
          <t>technosphere</t>
        </is>
      </c>
      <c r="H114" s="35" t="inlineStr">
        <is>
          <t>bafu</t>
        </is>
      </c>
      <c r="I114" s="34" t="inlineStr">
        <is>
          <t>buffer tank</t>
        </is>
      </c>
      <c r="L114" s="12" t="n"/>
      <c r="M114" s="12" t="n"/>
      <c r="N114" s="12" t="n"/>
      <c r="O114" s="12" t="n"/>
      <c r="P114" s="12" t="n"/>
      <c r="Q114" s="12" t="n"/>
    </row>
    <row r="115" ht="15.6" customFormat="1" customHeight="1" s="8">
      <c r="A115" s="35" t="inlineStr">
        <is>
          <t>Chromium steel 18/8, at plant</t>
        </is>
      </c>
      <c r="B115" s="44" t="n">
        <v>511</v>
      </c>
      <c r="C115" s="35" t="inlineStr">
        <is>
          <t>Chromium steel 18/8, at plant</t>
        </is>
      </c>
      <c r="D115" s="35" t="inlineStr">
        <is>
          <t>RER</t>
        </is>
      </c>
      <c r="E115" s="35" t="inlineStr">
        <is>
          <t>kilogram</t>
        </is>
      </c>
      <c r="F115" s="35" t="n"/>
      <c r="G115" s="35" t="inlineStr">
        <is>
          <t>technosphere</t>
        </is>
      </c>
      <c r="H115" s="35" t="inlineStr">
        <is>
          <t>bafu</t>
        </is>
      </c>
      <c r="I115" s="34" t="inlineStr">
        <is>
          <t>buffer tank</t>
        </is>
      </c>
      <c r="L115" s="12" t="n"/>
      <c r="M115" s="12" t="n"/>
      <c r="N115" s="12" t="n"/>
      <c r="O115" s="12" t="n"/>
      <c r="P115" s="12" t="n"/>
      <c r="Q115" s="12" t="n"/>
    </row>
    <row r="116" ht="15.6" customFormat="1" customHeight="1" s="8">
      <c r="A116" s="35" t="inlineStr">
        <is>
          <t>Welding, arc, steel</t>
        </is>
      </c>
      <c r="B116" s="44" t="n">
        <v>29</v>
      </c>
      <c r="C116" s="35" t="inlineStr">
        <is>
          <t>Welding, arc, steel</t>
        </is>
      </c>
      <c r="D116" s="35" t="inlineStr">
        <is>
          <t>RER</t>
        </is>
      </c>
      <c r="E116" s="35" t="inlineStr">
        <is>
          <t>meter</t>
        </is>
      </c>
      <c r="F116" s="35" t="n"/>
      <c r="G116" s="35" t="inlineStr">
        <is>
          <t>technosphere</t>
        </is>
      </c>
      <c r="H116" s="35" t="inlineStr">
        <is>
          <t>bafu</t>
        </is>
      </c>
      <c r="I116" s="34" t="inlineStr">
        <is>
          <t>buffer tank</t>
        </is>
      </c>
      <c r="L116" s="12" t="n"/>
      <c r="M116" s="12" t="n"/>
      <c r="N116" s="12" t="n"/>
      <c r="O116" s="12" t="n"/>
      <c r="P116" s="12" t="n"/>
      <c r="Q116" s="12" t="n"/>
    </row>
    <row r="117" ht="15.6" customFormat="1" customHeight="1" s="8">
      <c r="A117" s="35" t="inlineStr">
        <is>
          <t>Sheet rolling, steel</t>
        </is>
      </c>
      <c r="B117" s="44" t="n">
        <v>2250</v>
      </c>
      <c r="C117" s="35" t="inlineStr">
        <is>
          <t>Sheet rolling, steel</t>
        </is>
      </c>
      <c r="D117" s="35" t="inlineStr">
        <is>
          <t>RER</t>
        </is>
      </c>
      <c r="E117" s="35" t="inlineStr">
        <is>
          <t>kilogram</t>
        </is>
      </c>
      <c r="F117" s="35" t="n"/>
      <c r="G117" s="35" t="inlineStr">
        <is>
          <t>technosphere</t>
        </is>
      </c>
      <c r="H117" s="35" t="inlineStr">
        <is>
          <t>bafu</t>
        </is>
      </c>
      <c r="I117" s="34" t="inlineStr">
        <is>
          <t>container</t>
        </is>
      </c>
      <c r="L117" s="12" t="n"/>
      <c r="M117" s="12" t="n"/>
      <c r="N117" s="12" t="n"/>
      <c r="O117" s="12" t="n"/>
      <c r="P117" s="12" t="n"/>
      <c r="Q117" s="12" t="n"/>
    </row>
    <row r="118" ht="15.6" customFormat="1" customHeight="1" s="8">
      <c r="A118" s="48" t="inlineStr">
        <is>
          <t>Steel, low-alloyed, at plant</t>
        </is>
      </c>
      <c r="B118" s="83" t="n">
        <v>2250</v>
      </c>
      <c r="C118" s="34" t="inlineStr">
        <is>
          <t>Steel, low-alloyed, at plant</t>
        </is>
      </c>
      <c r="D118" s="35" t="inlineStr">
        <is>
          <t>RER</t>
        </is>
      </c>
      <c r="E118" s="35" t="inlineStr">
        <is>
          <t>kilogram</t>
        </is>
      </c>
      <c r="F118" s="35" t="n"/>
      <c r="G118" s="35" t="inlineStr">
        <is>
          <t>technosphere</t>
        </is>
      </c>
      <c r="H118" s="35" t="inlineStr">
        <is>
          <t>bafu</t>
        </is>
      </c>
      <c r="I118" s="34" t="inlineStr">
        <is>
          <t>container</t>
        </is>
      </c>
      <c r="L118" s="12" t="n"/>
      <c r="M118" s="12" t="n"/>
      <c r="N118" s="12" t="n"/>
      <c r="O118" s="12" t="n"/>
      <c r="P118" s="12" t="n"/>
      <c r="Q118" s="12" t="n"/>
    </row>
    <row r="119" ht="15.6" customFormat="1" customHeight="1" s="8">
      <c r="A119" s="35" t="inlineStr">
        <is>
          <t>Concrete, normal, at plant</t>
        </is>
      </c>
      <c r="B119" s="83" t="n">
        <v>2.3</v>
      </c>
      <c r="C119" s="34" t="inlineStr">
        <is>
          <t>Concrete, normal, at plant</t>
        </is>
      </c>
      <c r="D119" s="35" t="inlineStr">
        <is>
          <t>CH</t>
        </is>
      </c>
      <c r="E119" s="34" t="inlineStr">
        <is>
          <t>cubic meter</t>
        </is>
      </c>
      <c r="F119" s="35" t="n"/>
      <c r="G119" s="35" t="inlineStr">
        <is>
          <t>technosphere</t>
        </is>
      </c>
      <c r="H119" s="35" t="inlineStr">
        <is>
          <t>bafu</t>
        </is>
      </c>
      <c r="I119" s="34" t="inlineStr">
        <is>
          <t>foundation concrete</t>
        </is>
      </c>
      <c r="L119" s="12" t="n"/>
      <c r="M119" s="12" t="n"/>
      <c r="N119" s="12" t="n"/>
      <c r="O119" s="12" t="n"/>
      <c r="P119" s="12" t="n"/>
      <c r="Q119" s="12" t="n"/>
    </row>
    <row r="120" ht="15.6" customFormat="1" customHeight="1" s="8">
      <c r="A120" s="35" t="inlineStr">
        <is>
          <t>Electricity, low voltage, at grid</t>
        </is>
      </c>
      <c r="B120" s="44" t="n">
        <v>50000</v>
      </c>
      <c r="C120" s="34" t="inlineStr">
        <is>
          <t>Electricity, low voltage, at grid</t>
        </is>
      </c>
      <c r="D120" s="35" t="inlineStr">
        <is>
          <t>GLO</t>
        </is>
      </c>
      <c r="E120" s="35" t="inlineStr">
        <is>
          <t>kilowatt hour</t>
        </is>
      </c>
      <c r="F120" s="35" t="n"/>
      <c r="G120" s="35" t="inlineStr">
        <is>
          <t>technosphere</t>
        </is>
      </c>
      <c r="H120" s="35" t="inlineStr">
        <is>
          <t>bafu</t>
        </is>
      </c>
      <c r="I120" s="35" t="inlineStr">
        <is>
          <t>assembly energy</t>
        </is>
      </c>
      <c r="L120" s="12" t="n"/>
      <c r="M120" s="12" t="n"/>
      <c r="N120" s="12" t="n"/>
      <c r="O120" s="12" t="n"/>
      <c r="P120" s="12" t="n"/>
      <c r="Q120" s="12" t="n"/>
    </row>
    <row r="121" ht="15" customFormat="1" customHeight="1" s="8">
      <c r="B121" s="9" t="n"/>
      <c r="L121" s="9" t="n"/>
      <c r="M121" s="9" t="n"/>
      <c r="N121" s="9" t="n"/>
      <c r="O121" s="9" t="n"/>
      <c r="P121" s="9" t="n"/>
      <c r="Q121" s="9" t="n"/>
    </row>
    <row r="122" ht="15.6" customFormat="1" customHeight="1" s="8">
      <c r="A122" s="33" t="inlineStr">
        <is>
          <t>Activity</t>
        </is>
      </c>
      <c r="B122" s="82" t="inlineStr">
        <is>
          <t>treatment of fuel cell balance of plant, 1MWe, PEM</t>
        </is>
      </c>
      <c r="C122" s="35" t="n"/>
      <c r="D122" s="35" t="n"/>
      <c r="E122" s="35" t="n"/>
      <c r="F122" s="35" t="n"/>
      <c r="G122" s="35" t="n"/>
      <c r="H122" s="35" t="n"/>
      <c r="I122" s="35" t="n"/>
      <c r="L122" s="9" t="n"/>
      <c r="M122" s="9" t="n"/>
      <c r="N122" s="9" t="n"/>
      <c r="O122" s="9" t="n"/>
      <c r="P122" s="9" t="n"/>
      <c r="Q122" s="9" t="n"/>
    </row>
    <row r="123" ht="15" customFormat="1" customHeight="1" s="8">
      <c r="A123" s="36" t="inlineStr">
        <is>
          <t>production amount</t>
        </is>
      </c>
      <c r="B123" s="79" t="n">
        <v>1</v>
      </c>
      <c r="C123" s="35" t="n"/>
      <c r="D123" s="35" t="n"/>
      <c r="E123" s="35" t="n"/>
      <c r="F123" s="35" t="n"/>
      <c r="G123" s="35" t="n"/>
      <c r="H123" s="35" t="n"/>
      <c r="I123" s="35" t="n"/>
      <c r="L123" s="9" t="n"/>
      <c r="M123" s="9" t="n"/>
      <c r="N123" s="9" t="n"/>
      <c r="O123" s="9" t="n"/>
      <c r="P123" s="9" t="n"/>
      <c r="Q123" s="9" t="n"/>
    </row>
    <row r="124" ht="15" customFormat="1" customHeight="1" s="8">
      <c r="A124" s="36" t="inlineStr">
        <is>
          <t>comment</t>
        </is>
      </c>
      <c r="B124" s="79" t="inlineStr">
        <is>
          <t>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 Values have already been multiplied by 3 to reflect 2 stack replacements over 20 years of use.</t>
        </is>
      </c>
      <c r="C124" s="35" t="n"/>
      <c r="D124" s="35" t="n"/>
      <c r="E124" s="35" t="n"/>
      <c r="F124" s="35" t="n"/>
      <c r="G124" s="35" t="n"/>
      <c r="H124" s="35" t="n"/>
      <c r="I124" s="35" t="n"/>
      <c r="L124" s="9" t="n"/>
      <c r="M124" s="9" t="n"/>
      <c r="N124" s="9" t="n"/>
      <c r="O124" s="9" t="n"/>
      <c r="P124" s="9" t="n"/>
      <c r="Q124" s="9" t="n"/>
    </row>
    <row r="125" ht="15" customFormat="1" customHeight="1" s="8">
      <c r="A125" s="36" t="inlineStr">
        <is>
          <t>reference product</t>
        </is>
      </c>
      <c r="B125" s="44" t="inlineStr">
        <is>
          <t>used fuel cell balance of plant, 1MWe, PEM</t>
        </is>
      </c>
      <c r="C125" s="35" t="n"/>
      <c r="D125" s="35" t="n"/>
      <c r="E125" s="35" t="n"/>
      <c r="F125" s="35" t="n"/>
      <c r="G125" s="35" t="n"/>
      <c r="H125" s="35" t="n"/>
      <c r="I125" s="35" t="n"/>
      <c r="L125" s="9" t="n"/>
      <c r="M125" s="9" t="n"/>
      <c r="N125" s="9" t="n"/>
      <c r="O125" s="9" t="n"/>
      <c r="P125" s="9" t="n"/>
      <c r="Q125" s="9" t="n"/>
    </row>
    <row r="126" ht="15" customFormat="1" customHeight="1" s="8">
      <c r="A126" s="36" t="inlineStr">
        <is>
          <t>location</t>
        </is>
      </c>
      <c r="B126" s="79" t="inlineStr">
        <is>
          <t>RER</t>
        </is>
      </c>
      <c r="C126" s="35" t="n"/>
      <c r="D126" s="35" t="n"/>
      <c r="E126" s="35" t="n"/>
      <c r="F126" s="35" t="n"/>
      <c r="G126" s="35" t="n"/>
      <c r="H126" s="35" t="n"/>
      <c r="I126" s="35" t="n"/>
      <c r="L126" s="9" t="n"/>
      <c r="M126" s="9" t="n"/>
      <c r="N126" s="9" t="n"/>
      <c r="O126" s="9" t="n"/>
      <c r="P126" s="9" t="n"/>
      <c r="Q126" s="9" t="n"/>
    </row>
    <row r="127" ht="15" customFormat="1" customHeight="1" s="8">
      <c r="A127" s="36" t="inlineStr">
        <is>
          <t>unit</t>
        </is>
      </c>
      <c r="B127" s="44" t="inlineStr">
        <is>
          <t>unit</t>
        </is>
      </c>
      <c r="C127" s="35" t="n"/>
      <c r="D127" s="35" t="n"/>
      <c r="E127" s="35" t="n"/>
      <c r="F127" s="35" t="n"/>
      <c r="G127" s="35" t="n"/>
      <c r="H127" s="35" t="n"/>
      <c r="I127" s="35" t="n"/>
      <c r="L127" s="9" t="n"/>
      <c r="M127" s="9" t="n"/>
      <c r="N127" s="9" t="n"/>
      <c r="O127" s="9" t="n"/>
      <c r="P127" s="9" t="n"/>
      <c r="Q127" s="9" t="n"/>
    </row>
    <row r="128" ht="15.6" customFormat="1" customHeight="1" s="8">
      <c r="A128" s="38" t="inlineStr">
        <is>
          <t>Exchanges</t>
        </is>
      </c>
      <c r="B128" s="82" t="n"/>
      <c r="C128" s="38" t="n"/>
      <c r="D128" s="38" t="n"/>
      <c r="E128" s="38" t="n"/>
      <c r="F128" s="38" t="n"/>
      <c r="G128" s="38" t="n"/>
      <c r="H128" s="38" t="n"/>
      <c r="I128" s="38" t="n"/>
      <c r="J128" s="10" t="n"/>
      <c r="K128" s="10" t="n"/>
      <c r="L128" s="9" t="n"/>
      <c r="M128" s="9" t="n"/>
      <c r="N128" s="9" t="n"/>
      <c r="O128" s="9" t="n"/>
      <c r="P128" s="9" t="n"/>
      <c r="Q128" s="9" t="n"/>
    </row>
    <row r="129" ht="15.6" customFormat="1" customHeight="1" s="8">
      <c r="A129" s="38" t="inlineStr">
        <is>
          <t>name</t>
        </is>
      </c>
      <c r="B129" s="82" t="inlineStr">
        <is>
          <t>amount</t>
        </is>
      </c>
      <c r="C129" s="38" t="inlineStr">
        <is>
          <t>reference product</t>
        </is>
      </c>
      <c r="D129" s="38" t="inlineStr">
        <is>
          <t>location</t>
        </is>
      </c>
      <c r="E129" s="38" t="inlineStr">
        <is>
          <t>unit</t>
        </is>
      </c>
      <c r="F129" s="46" t="inlineStr">
        <is>
          <t>categories</t>
        </is>
      </c>
      <c r="G129" s="38" t="inlineStr">
        <is>
          <t>type</t>
        </is>
      </c>
      <c r="H129" s="38" t="inlineStr">
        <is>
          <t>database</t>
        </is>
      </c>
      <c r="I129" s="46" t="inlineStr">
        <is>
          <t>comment</t>
        </is>
      </c>
      <c r="J129" s="10" t="n"/>
      <c r="K129" s="6" t="n"/>
      <c r="L129" s="11" t="n"/>
      <c r="M129" s="11" t="n"/>
      <c r="N129" s="11" t="n"/>
      <c r="O129" s="11" t="n"/>
      <c r="P129" s="11" t="n"/>
      <c r="Q129" s="11" t="n"/>
      <c r="R129" s="6" t="n"/>
      <c r="S129" s="6" t="n"/>
      <c r="T129" s="10" t="n"/>
      <c r="U129" s="6" t="n"/>
    </row>
    <row r="130" ht="15" customFormat="1" customHeight="1" s="8">
      <c r="A130" s="37" t="inlineStr">
        <is>
          <t>treatment of fuel cell balance of plant, 1MWe, PEM</t>
        </is>
      </c>
      <c r="B130" s="44" t="n">
        <v>-1</v>
      </c>
      <c r="C130" s="35" t="inlineStr">
        <is>
          <t>used fuel cell balance of plant, 1MWe, PEM</t>
        </is>
      </c>
      <c r="D130" s="35" t="inlineStr">
        <is>
          <t>RER</t>
        </is>
      </c>
      <c r="E130" s="35" t="inlineStr">
        <is>
          <t>unit</t>
        </is>
      </c>
      <c r="F130" s="35" t="n"/>
      <c r="G130" s="35" t="inlineStr">
        <is>
          <t>production</t>
        </is>
      </c>
      <c r="H130" s="37" t="inlineStr">
        <is>
          <t>h2_electrolysis</t>
        </is>
      </c>
      <c r="I130" s="35" t="n"/>
      <c r="L130" s="9" t="n"/>
      <c r="M130" s="9" t="n"/>
      <c r="N130" s="9" t="n"/>
      <c r="O130" s="9" t="n"/>
      <c r="P130" s="9" t="n"/>
      <c r="Q130" s="9" t="n"/>
    </row>
    <row r="131" ht="15.6" customFormat="1" customHeight="1" s="8">
      <c r="A131" s="37" t="inlineStr">
        <is>
          <t>Iron scrap, at plant</t>
        </is>
      </c>
      <c r="B131" s="44" t="n">
        <v>-7523</v>
      </c>
      <c r="C131" s="35" t="inlineStr">
        <is>
          <t>Iron scrap, at plant</t>
        </is>
      </c>
      <c r="D131" s="35" t="inlineStr">
        <is>
          <t>RER</t>
        </is>
      </c>
      <c r="E131" s="35" t="inlineStr">
        <is>
          <t>kilogram</t>
        </is>
      </c>
      <c r="F131" s="35" t="n"/>
      <c r="G131" s="35" t="inlineStr">
        <is>
          <t>technosphere</t>
        </is>
      </c>
      <c r="H131" s="35" t="inlineStr">
        <is>
          <t>bafu</t>
        </is>
      </c>
      <c r="I131" s="35" t="n"/>
      <c r="L131" s="12" t="n"/>
      <c r="M131" s="12" t="n"/>
      <c r="N131" s="12" t="n"/>
      <c r="O131" s="12" t="n"/>
      <c r="P131" s="12" t="n"/>
      <c r="Q131" s="12" t="n"/>
    </row>
    <row r="132" ht="15.6" customFormat="1" customHeight="1" s="8">
      <c r="A132" s="37" t="inlineStr">
        <is>
          <t>Disposal, building, reinforcement steel, to sorting plant</t>
        </is>
      </c>
      <c r="B132" s="44" t="n">
        <v>-3312</v>
      </c>
      <c r="C132" s="37" t="inlineStr">
        <is>
          <t>Disposal, building, reinforcement steel, to sorting plant</t>
        </is>
      </c>
      <c r="D132" s="35" t="inlineStr">
        <is>
          <t>CH</t>
        </is>
      </c>
      <c r="E132" s="35" t="inlineStr">
        <is>
          <t>kilogram</t>
        </is>
      </c>
      <c r="F132" s="35" t="n"/>
      <c r="G132" s="35" t="inlineStr">
        <is>
          <t>technosphere</t>
        </is>
      </c>
      <c r="H132" s="35" t="inlineStr">
        <is>
          <t>bafu</t>
        </is>
      </c>
      <c r="I132" s="35" t="n"/>
      <c r="L132" s="12" t="n"/>
      <c r="M132" s="12" t="n"/>
      <c r="N132" s="12" t="n"/>
      <c r="O132" s="12" t="n"/>
      <c r="P132" s="12" t="n"/>
      <c r="Q132" s="12" t="n"/>
    </row>
    <row r="133" ht="15.6" customFormat="1" customHeight="1" s="8">
      <c r="A133" s="35" t="inlineStr">
        <is>
          <t>Aluminium scrap, old, at plant</t>
        </is>
      </c>
      <c r="B133" s="44" t="n">
        <v>-260</v>
      </c>
      <c r="C133" s="35" t="inlineStr">
        <is>
          <t>Aluminium scrap, old, at plant</t>
        </is>
      </c>
      <c r="D133" s="35" t="inlineStr">
        <is>
          <t>RER</t>
        </is>
      </c>
      <c r="E133" s="35" t="inlineStr">
        <is>
          <t>kilogram</t>
        </is>
      </c>
      <c r="F133" s="35" t="n"/>
      <c r="G133" s="35" t="inlineStr">
        <is>
          <t>technosphere</t>
        </is>
      </c>
      <c r="H133" s="35" t="inlineStr">
        <is>
          <t>bafu</t>
        </is>
      </c>
      <c r="I133" s="35" t="n"/>
      <c r="L133" s="12" t="n"/>
      <c r="M133" s="12" t="n"/>
      <c r="N133" s="12" t="n"/>
      <c r="O133" s="12" t="n"/>
      <c r="P133" s="12" t="n"/>
      <c r="Q133" s="12" t="n"/>
    </row>
    <row r="134" ht="15.6" customFormat="1" customHeight="1" s="8">
      <c r="A134" s="35" t="inlineStr">
        <is>
          <t>Disposal, plastic, industr. electronics, 15.3% water, to municipal incineration</t>
        </is>
      </c>
      <c r="B134" s="44" t="n">
        <v>-32</v>
      </c>
      <c r="C134" s="35" t="inlineStr">
        <is>
          <t>Disposal, plastic, industr. electronics, 15.3% water, to municipal incineration</t>
        </is>
      </c>
      <c r="D134" s="35" t="inlineStr">
        <is>
          <t>CH</t>
        </is>
      </c>
      <c r="E134" s="35" t="inlineStr">
        <is>
          <t>kilogram</t>
        </is>
      </c>
      <c r="F134" s="35" t="n"/>
      <c r="G134" s="35" t="inlineStr">
        <is>
          <t>technosphere</t>
        </is>
      </c>
      <c r="H134" s="35" t="inlineStr">
        <is>
          <t>bafu</t>
        </is>
      </c>
      <c r="I134" s="35" t="n"/>
      <c r="L134" s="12" t="n"/>
      <c r="M134" s="12" t="n"/>
      <c r="N134" s="12" t="n"/>
      <c r="O134" s="12" t="n"/>
      <c r="P134" s="12" t="n"/>
      <c r="Q134" s="12" t="n"/>
    </row>
    <row r="135" ht="15.6" customFormat="1" customHeight="1" s="8">
      <c r="A135" s="35" t="inlineStr">
        <is>
          <t>Disposal, treatment of printed wiring boards</t>
        </is>
      </c>
      <c r="B135" s="44" t="n">
        <v>-14</v>
      </c>
      <c r="C135" s="35" t="inlineStr">
        <is>
          <t>Disposal, treatment of printed wiring boards</t>
        </is>
      </c>
      <c r="D135" s="35" t="inlineStr">
        <is>
          <t>GLO</t>
        </is>
      </c>
      <c r="E135" s="35" t="inlineStr">
        <is>
          <t>kilogram</t>
        </is>
      </c>
      <c r="F135" s="35" t="n"/>
      <c r="G135" s="35" t="inlineStr">
        <is>
          <t>technosphere</t>
        </is>
      </c>
      <c r="H135" s="35" t="inlineStr">
        <is>
          <t>bafu</t>
        </is>
      </c>
      <c r="I135" s="35" t="n"/>
      <c r="L135" s="12" t="n"/>
      <c r="M135" s="12" t="n"/>
      <c r="N135" s="12" t="n"/>
      <c r="O135" s="12" t="n"/>
      <c r="P135" s="12" t="n"/>
      <c r="Q135" s="12" t="n"/>
    </row>
    <row r="136" ht="15.6" customFormat="1" customHeight="1" s="8">
      <c r="A136" s="35" t="inlineStr">
        <is>
          <t>Disposal, treatment of cables</t>
        </is>
      </c>
      <c r="B136" s="44" t="n">
        <v>-8</v>
      </c>
      <c r="C136" s="35" t="inlineStr">
        <is>
          <t>Disposal, treatment of cables</t>
        </is>
      </c>
      <c r="D136" s="35" t="inlineStr">
        <is>
          <t>GLO</t>
        </is>
      </c>
      <c r="E136" s="35" t="inlineStr">
        <is>
          <t>kilogram</t>
        </is>
      </c>
      <c r="F136" s="35" t="n"/>
      <c r="G136" s="35" t="inlineStr">
        <is>
          <t>technosphere</t>
        </is>
      </c>
      <c r="H136" s="35" t="inlineStr">
        <is>
          <t>bafu</t>
        </is>
      </c>
      <c r="I136" s="35" t="n"/>
      <c r="L136" s="12" t="n"/>
      <c r="M136" s="12" t="n"/>
      <c r="N136" s="12" t="n"/>
      <c r="O136" s="12" t="n"/>
      <c r="P136" s="12" t="n"/>
      <c r="Q136" s="12" t="n"/>
    </row>
    <row r="137" ht="15.6" customFormat="1" customHeight="1" s="8">
      <c r="A137" s="35" t="inlineStr">
        <is>
          <t>Disposal, polyethylene/polypropylene products, to municipal waste incineration</t>
        </is>
      </c>
      <c r="B137" s="44" t="n">
        <v>-764.6</v>
      </c>
      <c r="C137" s="35" t="inlineStr">
        <is>
          <t>Disposal, polyethylene/polypropylene products, to municipal waste incineration</t>
        </is>
      </c>
      <c r="D137" s="35" t="inlineStr">
        <is>
          <t>CH</t>
        </is>
      </c>
      <c r="E137" s="35" t="inlineStr">
        <is>
          <t>kilogram</t>
        </is>
      </c>
      <c r="F137" s="35" t="n"/>
      <c r="G137" s="35" t="inlineStr">
        <is>
          <t>technosphere</t>
        </is>
      </c>
      <c r="H137" s="35" t="inlineStr">
        <is>
          <t>bafu</t>
        </is>
      </c>
      <c r="I137" s="35" t="n"/>
      <c r="L137" s="12" t="n"/>
      <c r="M137" s="12" t="n"/>
      <c r="N137" s="12" t="n"/>
      <c r="O137" s="12" t="n"/>
      <c r="P137" s="12" t="n"/>
      <c r="Q137" s="12" t="n"/>
    </row>
    <row r="138" ht="15.6" customFormat="1" customHeight="1" s="8">
      <c r="A138" s="35" t="inlineStr">
        <is>
          <t>Disposal, building, bulk iron (excluding reinforcement), to sorting plant</t>
        </is>
      </c>
      <c r="B138" s="44" t="n">
        <v>-600</v>
      </c>
      <c r="C138" s="35" t="inlineStr">
        <is>
          <t>Disposal, building, bulk iron (excluding reinforcement), to sorting plant</t>
        </is>
      </c>
      <c r="D138" s="35" t="inlineStr">
        <is>
          <t>CH</t>
        </is>
      </c>
      <c r="E138" s="35" t="inlineStr">
        <is>
          <t>kilogram</t>
        </is>
      </c>
      <c r="F138" s="35" t="n"/>
      <c r="G138" s="35" t="inlineStr">
        <is>
          <t>technosphere</t>
        </is>
      </c>
      <c r="H138" s="35" t="inlineStr">
        <is>
          <t>bafu</t>
        </is>
      </c>
      <c r="I138" s="35" t="n"/>
      <c r="L138" s="12" t="n"/>
      <c r="M138" s="12" t="n"/>
      <c r="N138" s="12" t="n"/>
      <c r="O138" s="12" t="n"/>
      <c r="P138" s="12" t="n"/>
      <c r="Q138" s="12" t="n"/>
    </row>
    <row r="139" ht="15.6" customFormat="1" customHeight="1" s="8">
      <c r="A139" s="35" t="inlineStr">
        <is>
          <t>Copper, at regional storage</t>
        </is>
      </c>
      <c r="B139" s="44" t="n">
        <v>-345</v>
      </c>
      <c r="C139" s="35" t="inlineStr">
        <is>
          <t>Copper, at regional storage</t>
        </is>
      </c>
      <c r="D139" s="35" t="inlineStr">
        <is>
          <t>RER</t>
        </is>
      </c>
      <c r="E139" s="35" t="inlineStr">
        <is>
          <t>kilogram</t>
        </is>
      </c>
      <c r="F139" s="35" t="n"/>
      <c r="G139" s="35" t="inlineStr">
        <is>
          <t>technosphere</t>
        </is>
      </c>
      <c r="H139" s="35" t="inlineStr">
        <is>
          <t>bafu</t>
        </is>
      </c>
      <c r="I139" s="35" t="n"/>
      <c r="L139" s="12" t="n"/>
      <c r="M139" s="12" t="n"/>
      <c r="N139" s="12" t="n"/>
      <c r="O139" s="12" t="n"/>
      <c r="P139" s="12" t="n"/>
      <c r="Q139" s="12" t="n"/>
    </row>
    <row r="140" ht="15.6" customFormat="1" customHeight="1" s="8">
      <c r="A140" s="35" t="inlineStr">
        <is>
          <t>Disposal, plastics, mixture, 15.3% water, to municipal incineration</t>
        </is>
      </c>
      <c r="B140" s="44" t="n">
        <v>-147</v>
      </c>
      <c r="C140" s="35" t="inlineStr">
        <is>
          <t>Disposal, plastics, mixture, 15.3% water, to municipal incineration</t>
        </is>
      </c>
      <c r="D140" s="35" t="inlineStr">
        <is>
          <t>CH</t>
        </is>
      </c>
      <c r="E140" s="35" t="inlineStr">
        <is>
          <t>kilogram</t>
        </is>
      </c>
      <c r="F140" s="35" t="n"/>
      <c r="G140" s="35" t="inlineStr">
        <is>
          <t>technosphere</t>
        </is>
      </c>
      <c r="H140" s="35" t="inlineStr">
        <is>
          <t>bafu</t>
        </is>
      </c>
      <c r="I140" s="35" t="n"/>
      <c r="L140" s="12" t="n"/>
      <c r="M140" s="12" t="n"/>
      <c r="N140" s="12" t="n"/>
      <c r="O140" s="12" t="n"/>
      <c r="P140" s="12" t="n"/>
      <c r="Q140" s="12" t="n"/>
    </row>
    <row r="141" ht="15.6" customFormat="1" customHeight="1" s="8">
      <c r="A141" s="35" t="inlineStr">
        <is>
          <t>Disposal, building, concrete, not reinforced, to sorting plant</t>
        </is>
      </c>
      <c r="B141" s="44" t="n">
        <v>-5600</v>
      </c>
      <c r="C141" s="35" t="inlineStr">
        <is>
          <t>Disposal, building, concrete, not reinforced, to sorting plant</t>
        </is>
      </c>
      <c r="D141" s="35" t="inlineStr">
        <is>
          <t>CH</t>
        </is>
      </c>
      <c r="E141" s="35" t="inlineStr">
        <is>
          <t>kilogram</t>
        </is>
      </c>
      <c r="F141" s="35" t="n"/>
      <c r="G141" s="35" t="inlineStr">
        <is>
          <t>technosphere</t>
        </is>
      </c>
      <c r="H141" s="35" t="inlineStr">
        <is>
          <t>bafu</t>
        </is>
      </c>
      <c r="I141" s="35" t="n"/>
      <c r="L141" s="12" t="n"/>
      <c r="M141" s="12" t="n"/>
      <c r="N141" s="12" t="n"/>
      <c r="O141" s="12" t="n"/>
      <c r="P141" s="12" t="n"/>
      <c r="Q141" s="12" t="n"/>
    </row>
    <row r="142" ht="15.6" customFormat="1" customHeight="1" s="8">
      <c r="A142" s="35" t="inlineStr">
        <is>
          <t>Disposal, zeolite, 5% water, to construction waste landfill</t>
        </is>
      </c>
      <c r="B142" s="44" t="n">
        <v>-100</v>
      </c>
      <c r="C142" s="35" t="inlineStr">
        <is>
          <t>Disposal, zeolite, 5% water, to construction waste landfill</t>
        </is>
      </c>
      <c r="D142" s="35" t="inlineStr">
        <is>
          <t>CH</t>
        </is>
      </c>
      <c r="E142" s="35" t="inlineStr">
        <is>
          <t>kilogram</t>
        </is>
      </c>
      <c r="F142" s="35" t="n"/>
      <c r="G142" s="35" t="inlineStr">
        <is>
          <t>technosphere</t>
        </is>
      </c>
      <c r="H142" s="35" t="inlineStr">
        <is>
          <t>bafu</t>
        </is>
      </c>
      <c r="I142" s="35" t="n"/>
      <c r="L142" s="12" t="n"/>
      <c r="M142" s="12" t="n"/>
      <c r="N142" s="12" t="n"/>
      <c r="O142" s="12" t="n"/>
      <c r="P142" s="12" t="n"/>
      <c r="Q142" s="12" t="n"/>
    </row>
    <row r="143" ht="15" customFormat="1" customHeight="1" s="8">
      <c r="B143" s="9" t="n"/>
      <c r="L143" s="9" t="n"/>
      <c r="M143" s="9" t="n"/>
      <c r="N143" s="9" t="n"/>
      <c r="O143" s="9" t="n"/>
      <c r="P143" s="9" t="n"/>
      <c r="Q143" s="9" t="n"/>
    </row>
    <row r="144" ht="15.6" customFormat="1" customHeight="1" s="8">
      <c r="A144" s="33" t="inlineStr">
        <is>
          <t>Activity</t>
        </is>
      </c>
      <c r="B144" s="82" t="inlineStr">
        <is>
          <t>iridium production</t>
        </is>
      </c>
      <c r="C144" s="35" t="n"/>
      <c r="D144" s="35" t="n"/>
      <c r="E144" s="35" t="n"/>
      <c r="F144" s="35" t="n"/>
      <c r="G144" s="35" t="n"/>
      <c r="H144" s="35" t="n"/>
      <c r="I144" s="35" t="n"/>
      <c r="L144" s="13" t="n"/>
      <c r="M144" s="14" t="n"/>
      <c r="N144" s="9" t="n"/>
      <c r="O144" s="9" t="n"/>
      <c r="P144" s="9" t="n"/>
      <c r="Q144" s="9" t="n"/>
    </row>
    <row r="145" ht="15" customFormat="1" customHeight="1" s="8">
      <c r="A145" s="36" t="inlineStr">
        <is>
          <t>production amount</t>
        </is>
      </c>
      <c r="B145" s="79" t="n">
        <v>1</v>
      </c>
      <c r="C145" s="35" t="n"/>
      <c r="D145" s="35" t="n"/>
      <c r="E145" s="35" t="n"/>
      <c r="F145" s="35" t="n"/>
      <c r="G145" s="35" t="n"/>
      <c r="H145" s="35" t="n"/>
      <c r="I145" s="35" t="n"/>
      <c r="L145" s="15" t="n"/>
      <c r="M145" s="14" t="n"/>
      <c r="N145" s="9" t="n"/>
      <c r="O145" s="9" t="n"/>
      <c r="P145" s="9" t="n"/>
      <c r="Q145" s="9" t="n"/>
    </row>
    <row r="146" ht="15" customFormat="1" customHeight="1" s="8">
      <c r="A146" s="36" t="inlineStr">
        <is>
          <t>comment</t>
        </is>
      </c>
      <c r="B146" s="79" t="inlineStr">
        <is>
          <t>This is an aggregated inventory and cannot be considered transparent! 1 ton of iridium, mined. System area: Ore production to iridium in regional deposits. Geographical reference: Europe. Chronological reference: 2000-2004. Other information: Associated with platinum: approx. 0.3 to 0.4 g/10 g platinum ; share in total PGM prod.: approx. 37/542. The provision of investment goods is not considered in the data set. General information on mining and production: Type of mining: underground and open pit.
Crude ore production: South Africa 90%, Russia, Zimbabwe. Crude metal production: Germany 40% (Heraeus). Yearly production: 37 tons/year.
Source: ifeu - Institut für Energie- und Umweltforschung Heidelberg. Umweltprofile (UBA 2012). Accessible via: https://www.probas.umweltbundesamt.de/php/prozessdetails.php?id={BBAD218F-E439-42D6-9C26-14C774287F3C}</t>
        </is>
      </c>
      <c r="C146" s="35" t="n"/>
      <c r="D146" s="35" t="n"/>
      <c r="E146" s="35" t="n"/>
      <c r="F146" s="35" t="n"/>
      <c r="G146" s="35" t="n"/>
      <c r="H146" s="35" t="n"/>
      <c r="I146" s="35" t="n"/>
      <c r="L146" s="9" t="n"/>
      <c r="M146" s="14" t="n"/>
      <c r="N146" s="9" t="n"/>
      <c r="O146" s="9" t="n"/>
      <c r="P146" s="9" t="n"/>
      <c r="Q146" s="9" t="n"/>
    </row>
    <row r="147" ht="15" customFormat="1" customHeight="1" s="8">
      <c r="A147" s="36" t="inlineStr">
        <is>
          <t>reference product</t>
        </is>
      </c>
      <c r="B147" s="44" t="inlineStr">
        <is>
          <t>iridium</t>
        </is>
      </c>
      <c r="C147" s="35" t="n"/>
      <c r="D147" s="35" t="n"/>
      <c r="E147" s="35" t="n"/>
      <c r="F147" s="35" t="n"/>
      <c r="G147" s="35" t="n"/>
      <c r="H147" s="35" t="n"/>
      <c r="I147" s="35" t="n"/>
      <c r="L147" s="9" t="n"/>
      <c r="M147" s="9" t="n"/>
      <c r="N147" s="9" t="n"/>
      <c r="O147" s="9" t="n"/>
      <c r="P147" s="9" t="n"/>
      <c r="Q147" s="9" t="n"/>
    </row>
    <row r="148" ht="16.35" customFormat="1" customHeight="1" s="8">
      <c r="A148" s="36" t="inlineStr">
        <is>
          <t>location</t>
        </is>
      </c>
      <c r="B148" s="79" t="inlineStr">
        <is>
          <t>GLO</t>
        </is>
      </c>
      <c r="C148" s="35" t="n"/>
      <c r="D148" s="35" t="n"/>
      <c r="E148" s="35" t="n"/>
      <c r="F148" s="35" t="n"/>
      <c r="G148" s="35" t="n"/>
      <c r="H148" s="35" t="n"/>
      <c r="I148" s="35" t="n"/>
      <c r="L148" s="9" t="n"/>
      <c r="M148" s="9" t="n"/>
      <c r="N148" s="9" t="n"/>
      <c r="O148" s="9" t="n"/>
      <c r="P148" s="9" t="n"/>
      <c r="Q148" s="9" t="n"/>
    </row>
    <row r="149" ht="15.6" customFormat="1" customHeight="1" s="8">
      <c r="A149" s="36" t="inlineStr">
        <is>
          <t>unit</t>
        </is>
      </c>
      <c r="B149" s="44" t="inlineStr">
        <is>
          <t>kilogram</t>
        </is>
      </c>
      <c r="C149" s="35" t="n"/>
      <c r="D149" s="35" t="n"/>
      <c r="E149" s="35" t="n"/>
      <c r="F149" s="35" t="n"/>
      <c r="G149" s="35" t="n"/>
      <c r="H149" s="35" t="n"/>
      <c r="I149" s="38" t="n"/>
      <c r="J149" s="10" t="n"/>
      <c r="L149" s="9" t="n"/>
      <c r="M149" s="9" t="n"/>
      <c r="N149" s="9" t="n"/>
      <c r="O149" s="9" t="n"/>
      <c r="P149" s="9" t="n"/>
      <c r="Q149" s="9" t="n"/>
    </row>
    <row r="150" ht="15.6" customFormat="1" customHeight="1" s="8">
      <c r="A150" s="38" t="inlineStr">
        <is>
          <t>Exchanges</t>
        </is>
      </c>
      <c r="B150" s="82" t="n"/>
      <c r="C150" s="38" t="n"/>
      <c r="D150" s="38" t="n"/>
      <c r="E150" s="38" t="n"/>
      <c r="F150" s="38" t="n"/>
      <c r="G150" s="38" t="n"/>
      <c r="H150" s="38" t="n"/>
      <c r="I150" s="34" t="n"/>
      <c r="J150" s="7" t="n"/>
      <c r="L150" s="9" t="n"/>
      <c r="M150" s="9" t="n"/>
      <c r="N150" s="9" t="n"/>
      <c r="O150" s="9" t="n"/>
      <c r="P150" s="9" t="n"/>
      <c r="Q150" s="9" t="n"/>
    </row>
    <row r="151" ht="15.6" customFormat="1" customHeight="1" s="8">
      <c r="A151" s="38" t="inlineStr">
        <is>
          <t>name</t>
        </is>
      </c>
      <c r="B151" s="82" t="inlineStr">
        <is>
          <t>amount</t>
        </is>
      </c>
      <c r="C151" s="38" t="inlineStr">
        <is>
          <t>reference product</t>
        </is>
      </c>
      <c r="D151" s="38" t="inlineStr">
        <is>
          <t>location</t>
        </is>
      </c>
      <c r="E151" s="38" t="inlineStr">
        <is>
          <t>unit</t>
        </is>
      </c>
      <c r="F151" s="46" t="inlineStr">
        <is>
          <t>categories</t>
        </is>
      </c>
      <c r="G151" s="38" t="inlineStr">
        <is>
          <t>type</t>
        </is>
      </c>
      <c r="H151" s="38" t="inlineStr">
        <is>
          <t>database</t>
        </is>
      </c>
      <c r="I151" s="46" t="inlineStr">
        <is>
          <t>comment</t>
        </is>
      </c>
      <c r="J151" s="10" t="n"/>
      <c r="K151" s="6" t="n"/>
      <c r="L151" s="11" t="n"/>
      <c r="M151" s="11" t="n"/>
      <c r="N151" s="11" t="n"/>
      <c r="O151" s="11" t="n"/>
      <c r="P151" s="11" t="n"/>
      <c r="Q151" s="11" t="n"/>
      <c r="R151" s="6" t="n"/>
      <c r="S151" s="6" t="n"/>
      <c r="T151" s="10" t="n"/>
      <c r="U151" s="6" t="n"/>
    </row>
    <row r="152" ht="15" customFormat="1" customHeight="1" s="8">
      <c r="A152" s="37" t="inlineStr">
        <is>
          <t>iridium production</t>
        </is>
      </c>
      <c r="B152" s="44" t="n">
        <v>1</v>
      </c>
      <c r="C152" s="35" t="inlineStr">
        <is>
          <t>iridium</t>
        </is>
      </c>
      <c r="D152" s="35" t="inlineStr">
        <is>
          <t>GLO</t>
        </is>
      </c>
      <c r="E152" s="35" t="inlineStr">
        <is>
          <t>kilogram</t>
        </is>
      </c>
      <c r="F152" s="34" t="n"/>
      <c r="G152" s="35" t="inlineStr">
        <is>
          <t>production</t>
        </is>
      </c>
      <c r="H152" s="37" t="inlineStr">
        <is>
          <t>h2_electrolysis</t>
        </is>
      </c>
      <c r="I152" s="34" t="n"/>
      <c r="J152" s="7" t="n"/>
      <c r="K152" s="7" t="n"/>
      <c r="L152" s="9" t="n"/>
      <c r="M152" s="9" t="n"/>
      <c r="N152" s="9" t="n"/>
      <c r="O152" s="9" t="n"/>
      <c r="P152" s="9" t="n"/>
      <c r="Q152" s="9" t="n"/>
    </row>
    <row r="153" ht="15.6" customFormat="1" customHeight="1" s="8">
      <c r="A153" s="35" t="inlineStr">
        <is>
          <t>Methane, non-fossil</t>
        </is>
      </c>
      <c r="B153" s="37" t="n">
        <v>0.07809999999999999</v>
      </c>
      <c r="C153" s="35" t="n"/>
      <c r="D153" s="35" t="n"/>
      <c r="E153" s="35" t="inlineStr">
        <is>
          <t>kilogram</t>
        </is>
      </c>
      <c r="F153" s="35" t="inlineStr">
        <is>
          <t>air</t>
        </is>
      </c>
      <c r="G153" s="35" t="inlineStr">
        <is>
          <t>biosphere</t>
        </is>
      </c>
      <c r="H153" s="42" t="inlineStr">
        <is>
          <t>biosphere3</t>
        </is>
      </c>
      <c r="I153" s="35" t="n"/>
      <c r="L153" s="12" t="n"/>
      <c r="M153" s="12" t="n"/>
      <c r="N153" s="12" t="n"/>
      <c r="O153" s="12" t="n"/>
      <c r="P153" s="12" t="n"/>
      <c r="Q153" s="12" t="n"/>
      <c r="R153" s="12" t="n"/>
    </row>
    <row r="154" ht="15.6" customFormat="1" customHeight="1" s="8">
      <c r="A154" s="35" t="inlineStr">
        <is>
          <t>Methane, fossil</t>
        </is>
      </c>
      <c r="B154" s="44" t="n">
        <v>19.13</v>
      </c>
      <c r="C154" s="35" t="n"/>
      <c r="D154" s="35" t="n"/>
      <c r="E154" s="35" t="inlineStr">
        <is>
          <t>kilogram</t>
        </is>
      </c>
      <c r="F154" s="35" t="inlineStr">
        <is>
          <t>air</t>
        </is>
      </c>
      <c r="G154" s="35" t="inlineStr">
        <is>
          <t>biosphere</t>
        </is>
      </c>
      <c r="H154" s="42" t="inlineStr">
        <is>
          <t>biosphere3</t>
        </is>
      </c>
      <c r="I154" s="35" t="n"/>
      <c r="L154" s="12" t="n"/>
      <c r="M154" s="12" t="n"/>
      <c r="N154" s="12" t="n"/>
      <c r="O154" s="12" t="n"/>
      <c r="P154" s="12" t="n"/>
      <c r="Q154" s="12" t="n"/>
      <c r="R154" s="12" t="n"/>
    </row>
    <row r="155" ht="15.6" customFormat="1" customHeight="1" s="8">
      <c r="A155" s="35" t="inlineStr">
        <is>
          <t>Hydrocarbons, chlorinated</t>
        </is>
      </c>
      <c r="B155" s="37" t="n">
        <v>0.0008100000000000001</v>
      </c>
      <c r="C155" s="35" t="n"/>
      <c r="D155" s="35" t="n"/>
      <c r="E155" s="35" t="inlineStr">
        <is>
          <t>kilogram</t>
        </is>
      </c>
      <c r="F155" s="35" t="inlineStr">
        <is>
          <t>air</t>
        </is>
      </c>
      <c r="G155" s="35" t="inlineStr">
        <is>
          <t>biosphere</t>
        </is>
      </c>
      <c r="H155" s="42" t="inlineStr">
        <is>
          <t>biosphere3</t>
        </is>
      </c>
      <c r="I155" s="35" t="n"/>
      <c r="L155" s="12" t="n"/>
      <c r="M155" s="12" t="n"/>
      <c r="N155" s="12" t="n"/>
      <c r="O155" s="12" t="n"/>
      <c r="P155" s="12" t="n"/>
      <c r="Q155" s="12" t="n"/>
      <c r="R155" s="12" t="n"/>
    </row>
    <row r="156" ht="15.6" customFormat="1" customHeight="1" s="8">
      <c r="A156" s="35" t="inlineStr">
        <is>
          <t>Chromium III</t>
        </is>
      </c>
      <c r="B156" s="37" t="n">
        <v>0.00693</v>
      </c>
      <c r="C156" s="35" t="n"/>
      <c r="D156" s="35" t="n"/>
      <c r="E156" s="35" t="inlineStr">
        <is>
          <t>kilogram</t>
        </is>
      </c>
      <c r="F156" s="35" t="inlineStr">
        <is>
          <t>air</t>
        </is>
      </c>
      <c r="G156" s="35" t="inlineStr">
        <is>
          <t>biosphere</t>
        </is>
      </c>
      <c r="H156" s="42" t="inlineStr">
        <is>
          <t>biosphere3</t>
        </is>
      </c>
      <c r="I156" s="35" t="n"/>
      <c r="L156" s="12" t="n"/>
      <c r="M156" s="12" t="n"/>
      <c r="N156" s="12" t="n"/>
      <c r="O156" s="12" t="n"/>
      <c r="P156" s="12" t="n"/>
      <c r="Q156" s="12" t="n"/>
      <c r="R156" s="12" t="n"/>
    </row>
    <row r="157" ht="15.6" customFormat="1" customHeight="1" s="8">
      <c r="A157" s="35" t="inlineStr">
        <is>
          <t>Carbon monoxide, fossil</t>
        </is>
      </c>
      <c r="B157" s="44" t="n">
        <v>7.159</v>
      </c>
      <c r="C157" s="35" t="n"/>
      <c r="D157" s="35" t="n"/>
      <c r="E157" s="35" t="inlineStr">
        <is>
          <t>kilogram</t>
        </is>
      </c>
      <c r="F157" s="35" t="inlineStr">
        <is>
          <t>air</t>
        </is>
      </c>
      <c r="G157" s="35" t="inlineStr">
        <is>
          <t>biosphere</t>
        </is>
      </c>
      <c r="H157" s="42" t="inlineStr">
        <is>
          <t>biosphere3</t>
        </is>
      </c>
      <c r="I157" s="35" t="n"/>
      <c r="L157" s="12" t="n"/>
      <c r="M157" s="12" t="n"/>
      <c r="N157" s="12" t="n"/>
      <c r="O157" s="12" t="n"/>
      <c r="P157" s="12" t="n"/>
      <c r="Q157" s="12" t="n"/>
      <c r="R157" s="12" t="n"/>
    </row>
    <row r="158" ht="15.6" customFormat="1" customHeight="1" s="8">
      <c r="A158" s="35" t="inlineStr">
        <is>
          <t>Carbon dioxide, fossil</t>
        </is>
      </c>
      <c r="B158" s="44" t="n">
        <v>11146.616</v>
      </c>
      <c r="C158" s="35" t="n"/>
      <c r="D158" s="35" t="n"/>
      <c r="E158" s="35" t="inlineStr">
        <is>
          <t>kilogram</t>
        </is>
      </c>
      <c r="F158" s="35" t="inlineStr">
        <is>
          <t>air</t>
        </is>
      </c>
      <c r="G158" s="35" t="inlineStr">
        <is>
          <t>biosphere</t>
        </is>
      </c>
      <c r="H158" s="42" t="inlineStr">
        <is>
          <t>biosphere3</t>
        </is>
      </c>
      <c r="I158" s="35" t="n"/>
      <c r="L158" s="12" t="n"/>
      <c r="M158" s="12" t="n"/>
      <c r="N158" s="12" t="n"/>
      <c r="O158" s="12" t="n"/>
      <c r="P158" s="12" t="n"/>
      <c r="Q158" s="12" t="n"/>
      <c r="R158" s="12" t="n"/>
    </row>
    <row r="159" ht="15.6" customFormat="1" customHeight="1" s="8">
      <c r="A159" s="35" t="inlineStr">
        <is>
          <t>Carbon dioxide, non-fossil</t>
        </is>
      </c>
      <c r="B159" s="44" t="n">
        <v>412.196</v>
      </c>
      <c r="C159" s="35" t="n"/>
      <c r="D159" s="35" t="n"/>
      <c r="E159" s="35" t="inlineStr">
        <is>
          <t>kilogram</t>
        </is>
      </c>
      <c r="F159" s="35" t="inlineStr">
        <is>
          <t>air</t>
        </is>
      </c>
      <c r="G159" s="35" t="inlineStr">
        <is>
          <t>biosphere</t>
        </is>
      </c>
      <c r="H159" s="42" t="inlineStr">
        <is>
          <t>biosphere3</t>
        </is>
      </c>
      <c r="I159" s="35" t="n"/>
      <c r="L159" s="12" t="n"/>
      <c r="M159" s="12" t="n"/>
      <c r="N159" s="12" t="n"/>
      <c r="O159" s="12" t="n"/>
      <c r="P159" s="12" t="n"/>
      <c r="Q159" s="12" t="n"/>
      <c r="R159" s="12" t="n"/>
    </row>
    <row r="160" ht="15.6" customFormat="1" customHeight="1" s="8">
      <c r="A160" s="35" t="inlineStr">
        <is>
          <t>Dichloromethane</t>
        </is>
      </c>
      <c r="B160" s="37" t="n">
        <v>8.76e-08</v>
      </c>
      <c r="C160" s="35" t="n"/>
      <c r="D160" s="35" t="n"/>
      <c r="E160" s="35" t="inlineStr">
        <is>
          <t>kilogram</t>
        </is>
      </c>
      <c r="F160" s="35" t="inlineStr">
        <is>
          <t>air</t>
        </is>
      </c>
      <c r="G160" s="35" t="inlineStr">
        <is>
          <t>biosphere</t>
        </is>
      </c>
      <c r="H160" s="42" t="inlineStr">
        <is>
          <t>biosphere3</t>
        </is>
      </c>
      <c r="I160" s="35" t="n"/>
      <c r="L160" s="12" t="n"/>
      <c r="M160" s="12" t="n"/>
      <c r="N160" s="12" t="n"/>
      <c r="O160" s="12" t="n"/>
      <c r="P160" s="12" t="n"/>
      <c r="Q160" s="12" t="n"/>
      <c r="R160" s="12" t="n"/>
    </row>
    <row r="161" ht="15.6" customFormat="1" customHeight="1" s="8">
      <c r="A161" s="35" t="inlineStr">
        <is>
          <t>Dioxins, measured as 2,3,7,8-tetrachlorodibenzo-p-dioxin</t>
        </is>
      </c>
      <c r="B161" s="37" t="n">
        <v>5.73e-09</v>
      </c>
      <c r="C161" s="35" t="n"/>
      <c r="D161" s="35" t="n"/>
      <c r="E161" s="35" t="inlineStr">
        <is>
          <t>kilogram</t>
        </is>
      </c>
      <c r="F161" s="35" t="inlineStr">
        <is>
          <t>air</t>
        </is>
      </c>
      <c r="G161" s="35" t="inlineStr">
        <is>
          <t>biosphere</t>
        </is>
      </c>
      <c r="H161" s="42" t="inlineStr">
        <is>
          <t>biosphere3</t>
        </is>
      </c>
      <c r="I161" s="35" t="n"/>
      <c r="L161" s="12" t="n"/>
      <c r="M161" s="12" t="n"/>
      <c r="N161" s="12" t="n"/>
      <c r="O161" s="12" t="n"/>
      <c r="P161" s="12" t="n"/>
      <c r="Q161" s="12" t="n"/>
      <c r="R161" s="12" t="n"/>
    </row>
    <row r="162" ht="15.6" customFormat="1" customHeight="1" s="8">
      <c r="A162" s="35" t="inlineStr">
        <is>
          <t>Ethane</t>
        </is>
      </c>
      <c r="B162" s="37" t="n">
        <v>0.00556</v>
      </c>
      <c r="C162" s="35" t="n"/>
      <c r="D162" s="35" t="n"/>
      <c r="E162" s="35" t="inlineStr">
        <is>
          <t>kilogram</t>
        </is>
      </c>
      <c r="F162" s="35" t="inlineStr">
        <is>
          <t>air</t>
        </is>
      </c>
      <c r="G162" s="35" t="inlineStr">
        <is>
          <t>biosphere</t>
        </is>
      </c>
      <c r="H162" s="42" t="inlineStr">
        <is>
          <t>biosphere3</t>
        </is>
      </c>
      <c r="I162" s="35" t="n"/>
      <c r="L162" s="12" t="n"/>
      <c r="M162" s="12" t="n"/>
      <c r="N162" s="12" t="n"/>
      <c r="O162" s="12" t="n"/>
      <c r="P162" s="12" t="n"/>
      <c r="Q162" s="12" t="n"/>
      <c r="R162" s="12" t="n"/>
    </row>
    <row r="163" ht="15.6" customFormat="1" customHeight="1" s="8">
      <c r="A163" s="35" t="inlineStr">
        <is>
          <t>Particulate Matter, &gt; 2.5 um and &lt; 10um</t>
        </is>
      </c>
      <c r="B163" s="44" t="n">
        <v>36.7</v>
      </c>
      <c r="C163" s="35" t="n"/>
      <c r="D163" s="35" t="n"/>
      <c r="E163" s="35" t="inlineStr">
        <is>
          <t>kilogram</t>
        </is>
      </c>
      <c r="F163" s="35" t="inlineStr">
        <is>
          <t>air</t>
        </is>
      </c>
      <c r="G163" s="35" t="inlineStr">
        <is>
          <t>biosphere</t>
        </is>
      </c>
      <c r="H163" s="42" t="inlineStr">
        <is>
          <t>biosphere3</t>
        </is>
      </c>
      <c r="I163" s="35" t="n"/>
      <c r="L163" s="12" t="n"/>
      <c r="M163" s="12" t="n"/>
      <c r="N163" s="12" t="n"/>
      <c r="O163" s="12" t="n"/>
      <c r="P163" s="12" t="n"/>
      <c r="Q163" s="12" t="n"/>
      <c r="R163" s="12" t="n"/>
    </row>
    <row r="164" ht="15.6" customFormat="1" customHeight="1" s="8">
      <c r="A164" s="35" t="inlineStr">
        <is>
          <t>Formaldehyde</t>
        </is>
      </c>
      <c r="B164" s="37" t="n">
        <v>0.0486</v>
      </c>
      <c r="C164" s="35" t="n"/>
      <c r="D164" s="35" t="n"/>
      <c r="E164" s="35" t="inlineStr">
        <is>
          <t>kilogram</t>
        </is>
      </c>
      <c r="F164" s="35" t="inlineStr">
        <is>
          <t>air</t>
        </is>
      </c>
      <c r="G164" s="35" t="inlineStr">
        <is>
          <t>biosphere</t>
        </is>
      </c>
      <c r="H164" s="42" t="inlineStr">
        <is>
          <t>biosphere3</t>
        </is>
      </c>
      <c r="I164" s="35" t="n"/>
      <c r="L164" s="12" t="n"/>
      <c r="M164" s="12" t="n"/>
      <c r="N164" s="12" t="n"/>
      <c r="O164" s="12" t="n"/>
      <c r="P164" s="12" t="n"/>
      <c r="Q164" s="12" t="n"/>
      <c r="R164" s="12" t="n"/>
    </row>
    <row r="165" ht="15.6" customFormat="1" customHeight="1" s="8">
      <c r="A165" s="35" t="inlineStr">
        <is>
          <t>Hydrogen sulfide</t>
        </is>
      </c>
      <c r="B165" s="37" t="n">
        <v>0.0191</v>
      </c>
      <c r="C165" s="35" t="n"/>
      <c r="D165" s="35" t="n"/>
      <c r="E165" s="35" t="inlineStr">
        <is>
          <t>kilogram</t>
        </is>
      </c>
      <c r="F165" s="35" t="inlineStr">
        <is>
          <t>air</t>
        </is>
      </c>
      <c r="G165" s="35" t="inlineStr">
        <is>
          <t>biosphere</t>
        </is>
      </c>
      <c r="H165" s="42" t="inlineStr">
        <is>
          <t>biosphere3</t>
        </is>
      </c>
      <c r="I165" s="35" t="n"/>
      <c r="L165" s="12" t="n"/>
      <c r="M165" s="12" t="n"/>
      <c r="N165" s="12" t="n"/>
      <c r="O165" s="12" t="n"/>
      <c r="P165" s="12" t="n"/>
      <c r="Q165" s="12" t="n"/>
      <c r="R165" s="12" t="n"/>
    </row>
    <row r="166" ht="15.6" customFormat="1" customHeight="1" s="8">
      <c r="A166" s="35" t="inlineStr">
        <is>
          <t>Hydrochloric acid</t>
        </is>
      </c>
      <c r="B166" s="37" t="n">
        <v>0.499</v>
      </c>
      <c r="C166" s="35" t="n"/>
      <c r="D166" s="35" t="n"/>
      <c r="E166" s="35" t="inlineStr">
        <is>
          <t>kilogram</t>
        </is>
      </c>
      <c r="F166" s="35" t="inlineStr">
        <is>
          <t>air</t>
        </is>
      </c>
      <c r="G166" s="35" t="inlineStr">
        <is>
          <t>biosphere</t>
        </is>
      </c>
      <c r="H166" s="42" t="inlineStr">
        <is>
          <t>biosphere3</t>
        </is>
      </c>
      <c r="I166" s="35" t="n"/>
      <c r="L166" s="12" t="n"/>
      <c r="M166" s="12" t="n"/>
      <c r="N166" s="12" t="n"/>
      <c r="O166" s="12" t="n"/>
      <c r="P166" s="12" t="n"/>
      <c r="Q166" s="12" t="n"/>
      <c r="R166" s="12" t="n"/>
    </row>
    <row r="167" ht="15.6" customFormat="1" customHeight="1" s="8">
      <c r="A167" s="35" t="inlineStr">
        <is>
          <t>Hexachlorobenzene</t>
        </is>
      </c>
      <c r="B167" s="37" t="n">
        <v>4.7e-09</v>
      </c>
      <c r="C167" s="35" t="n"/>
      <c r="D167" s="35" t="n"/>
      <c r="E167" s="35" t="inlineStr">
        <is>
          <t>kilogram</t>
        </is>
      </c>
      <c r="F167" s="35" t="inlineStr">
        <is>
          <t>air</t>
        </is>
      </c>
      <c r="G167" s="35" t="inlineStr">
        <is>
          <t>biosphere</t>
        </is>
      </c>
      <c r="H167" s="42" t="inlineStr">
        <is>
          <t>biosphere3</t>
        </is>
      </c>
      <c r="I167" s="35" t="n"/>
      <c r="L167" s="12" t="n"/>
      <c r="M167" s="12" t="n"/>
      <c r="N167" s="12" t="n"/>
      <c r="O167" s="12" t="n"/>
      <c r="P167" s="12" t="n"/>
      <c r="Q167" s="12" t="n"/>
      <c r="R167" s="12" t="n"/>
    </row>
    <row r="168" ht="15.6" customFormat="1" customHeight="1" s="8">
      <c r="A168" s="35" t="inlineStr">
        <is>
          <t>Hydrogen fluoride</t>
        </is>
      </c>
      <c r="B168" s="37" t="n">
        <v>0.0487</v>
      </c>
      <c r="C168" s="35" t="n"/>
      <c r="D168" s="35" t="n"/>
      <c r="E168" s="35" t="inlineStr">
        <is>
          <t>kilogram</t>
        </is>
      </c>
      <c r="F168" s="35" t="inlineStr">
        <is>
          <t>air</t>
        </is>
      </c>
      <c r="G168" s="35" t="inlineStr">
        <is>
          <t>biosphere</t>
        </is>
      </c>
      <c r="H168" s="42" t="inlineStr">
        <is>
          <t>biosphere3</t>
        </is>
      </c>
      <c r="I168" s="35" t="n"/>
      <c r="L168" s="12" t="n"/>
      <c r="M168" s="12" t="n"/>
      <c r="N168" s="12" t="n"/>
      <c r="O168" s="12" t="n"/>
      <c r="P168" s="12" t="n"/>
      <c r="Q168" s="12" t="n"/>
      <c r="R168" s="12" t="n"/>
    </row>
    <row r="169" ht="15.6" customFormat="1" customHeight="1" s="8">
      <c r="A169" s="35" t="inlineStr">
        <is>
          <t>1,1,1,2-Tetrafluoroethane</t>
        </is>
      </c>
      <c r="B169" s="37" t="n">
        <v>2.1e-07</v>
      </c>
      <c r="C169" s="35" t="n"/>
      <c r="D169" s="35" t="n"/>
      <c r="E169" s="35" t="inlineStr">
        <is>
          <t>kilogram</t>
        </is>
      </c>
      <c r="F169" s="35" t="inlineStr">
        <is>
          <t>air</t>
        </is>
      </c>
      <c r="G169" s="35" t="inlineStr">
        <is>
          <t>biosphere</t>
        </is>
      </c>
      <c r="H169" s="42" t="inlineStr">
        <is>
          <t>biosphere3</t>
        </is>
      </c>
      <c r="I169" s="35" t="n"/>
      <c r="L169" s="12" t="n"/>
      <c r="M169" s="12" t="n"/>
      <c r="N169" s="12" t="n"/>
      <c r="O169" s="12" t="n"/>
      <c r="P169" s="12" t="n"/>
      <c r="Q169" s="12" t="n"/>
      <c r="R169" s="12" t="n"/>
    </row>
    <row r="170" ht="15.6" customFormat="1" customHeight="1" s="8">
      <c r="A170" s="35" t="inlineStr">
        <is>
          <t>Copper ion</t>
        </is>
      </c>
      <c r="B170" s="37" t="n">
        <v>0.0256</v>
      </c>
      <c r="C170" s="35" t="n"/>
      <c r="D170" s="35" t="n"/>
      <c r="E170" s="35" t="inlineStr">
        <is>
          <t>kilogram</t>
        </is>
      </c>
      <c r="F170" s="35" t="inlineStr">
        <is>
          <t>air</t>
        </is>
      </c>
      <c r="G170" s="35" t="inlineStr">
        <is>
          <t>biosphere</t>
        </is>
      </c>
      <c r="H170" s="42" t="inlineStr">
        <is>
          <t>biosphere3</t>
        </is>
      </c>
      <c r="I170" s="35" t="n"/>
      <c r="L170" s="12" t="n"/>
      <c r="M170" s="12" t="n"/>
      <c r="N170" s="12" t="n"/>
      <c r="O170" s="12" t="n"/>
      <c r="P170" s="12" t="n"/>
      <c r="Q170" s="12" t="n"/>
      <c r="R170" s="12" t="n"/>
    </row>
    <row r="171" ht="15.6" customFormat="1" customHeight="1" s="8">
      <c r="A171" s="35" t="inlineStr">
        <is>
          <t>Dinitrogen monoxide</t>
        </is>
      </c>
      <c r="B171" s="44" t="n">
        <v>1.06</v>
      </c>
      <c r="C171" s="35" t="n"/>
      <c r="D171" s="35" t="n"/>
      <c r="E171" s="35" t="inlineStr">
        <is>
          <t>kilogram</t>
        </is>
      </c>
      <c r="F171" s="35" t="inlineStr">
        <is>
          <t>air</t>
        </is>
      </c>
      <c r="G171" s="35" t="inlineStr">
        <is>
          <t>biosphere</t>
        </is>
      </c>
      <c r="H171" s="42" t="inlineStr">
        <is>
          <t>biosphere3</t>
        </is>
      </c>
      <c r="I171" s="35" t="n"/>
      <c r="L171" s="12" t="n"/>
      <c r="M171" s="12" t="n"/>
      <c r="N171" s="12" t="n"/>
      <c r="O171" s="12" t="n"/>
      <c r="P171" s="12" t="n"/>
      <c r="Q171" s="12" t="n"/>
      <c r="R171" s="12" t="n"/>
    </row>
    <row r="172" ht="15.6" customFormat="1" customHeight="1" s="8">
      <c r="A172" s="35" t="inlineStr">
        <is>
          <t>Ammonia</t>
        </is>
      </c>
      <c r="B172" s="37" t="n">
        <v>0.352</v>
      </c>
      <c r="C172" s="35" t="n"/>
      <c r="D172" s="35" t="n"/>
      <c r="E172" s="35" t="inlineStr">
        <is>
          <t>kilogram</t>
        </is>
      </c>
      <c r="F172" s="35" t="inlineStr">
        <is>
          <t>air</t>
        </is>
      </c>
      <c r="G172" s="35" t="inlineStr">
        <is>
          <t>biosphere</t>
        </is>
      </c>
      <c r="H172" s="42" t="inlineStr">
        <is>
          <t>biosphere3</t>
        </is>
      </c>
      <c r="I172" s="35" t="n"/>
      <c r="L172" s="12" t="n"/>
      <c r="M172" s="12" t="n"/>
      <c r="N172" s="12" t="n"/>
      <c r="O172" s="12" t="n"/>
      <c r="P172" s="12" t="n"/>
      <c r="Q172" s="12" t="n"/>
      <c r="R172" s="12" t="n"/>
    </row>
    <row r="173" ht="15.6" customFormat="1" customHeight="1" s="8">
      <c r="A173" s="35" t="inlineStr">
        <is>
          <t>Nickel II</t>
        </is>
      </c>
      <c r="B173" s="37" t="n">
        <v>0.0269</v>
      </c>
      <c r="C173" s="35" t="n"/>
      <c r="D173" s="35" t="n"/>
      <c r="E173" s="35" t="inlineStr">
        <is>
          <t>kilogram</t>
        </is>
      </c>
      <c r="F173" s="35" t="inlineStr">
        <is>
          <t>air</t>
        </is>
      </c>
      <c r="G173" s="35" t="inlineStr">
        <is>
          <t>biosphere</t>
        </is>
      </c>
      <c r="H173" s="42" t="inlineStr">
        <is>
          <t>biosphere3</t>
        </is>
      </c>
      <c r="I173" s="35" t="n"/>
      <c r="L173" s="12" t="n"/>
      <c r="M173" s="12" t="n"/>
      <c r="N173" s="12" t="n"/>
      <c r="O173" s="12" t="n"/>
      <c r="P173" s="12" t="n"/>
      <c r="Q173" s="12" t="n"/>
      <c r="R173" s="12" t="n"/>
    </row>
    <row r="174" ht="15.6" customFormat="1" customHeight="1" s="8">
      <c r="A174" s="35" t="inlineStr">
        <is>
          <t>NMVOC, non-methane volatile organic compounds</t>
        </is>
      </c>
      <c r="B174" s="44" t="n">
        <v>26.859</v>
      </c>
      <c r="C174" s="35" t="n"/>
      <c r="D174" s="35" t="n"/>
      <c r="E174" s="35" t="inlineStr">
        <is>
          <t>kilogram</t>
        </is>
      </c>
      <c r="F174" s="35" t="inlineStr">
        <is>
          <t>air</t>
        </is>
      </c>
      <c r="G174" s="35" t="inlineStr">
        <is>
          <t>biosphere</t>
        </is>
      </c>
      <c r="H174" s="42" t="inlineStr">
        <is>
          <t>biosphere3</t>
        </is>
      </c>
      <c r="I174" s="35" t="n"/>
      <c r="L174" s="12" t="n"/>
      <c r="M174" s="12" t="n"/>
      <c r="N174" s="12" t="n"/>
      <c r="O174" s="12" t="n"/>
      <c r="P174" s="12" t="n"/>
      <c r="Q174" s="12" t="n"/>
      <c r="R174" s="12" t="n"/>
    </row>
    <row r="175" ht="15.6" customFormat="1" customHeight="1" s="8">
      <c r="A175" s="35" t="inlineStr">
        <is>
          <t>Nitrogen oxides</t>
        </is>
      </c>
      <c r="B175" s="44" t="n">
        <v>30.635</v>
      </c>
      <c r="C175" s="35" t="n"/>
      <c r="D175" s="35" t="n"/>
      <c r="E175" s="35" t="inlineStr">
        <is>
          <t>kilogram</t>
        </is>
      </c>
      <c r="F175" s="35" t="inlineStr">
        <is>
          <t>air</t>
        </is>
      </c>
      <c r="G175" s="35" t="inlineStr">
        <is>
          <t>biosphere</t>
        </is>
      </c>
      <c r="H175" s="42" t="inlineStr">
        <is>
          <t>biosphere3</t>
        </is>
      </c>
      <c r="I175" s="35" t="n"/>
      <c r="L175" s="12" t="n"/>
      <c r="M175" s="12" t="n"/>
      <c r="N175" s="12" t="n"/>
      <c r="O175" s="12" t="n"/>
      <c r="P175" s="12" t="n"/>
      <c r="Q175" s="12" t="n"/>
      <c r="R175" s="12" t="n"/>
    </row>
    <row r="176" ht="15.6" customFormat="1" customHeight="1" s="8">
      <c r="A176" s="35" t="inlineStr">
        <is>
          <t>Polychlorinated biphenyls</t>
        </is>
      </c>
      <c r="B176" s="37" t="n">
        <v>9.52e-10</v>
      </c>
      <c r="C176" s="35" t="n"/>
      <c r="D176" s="35" t="n"/>
      <c r="E176" s="35" t="inlineStr">
        <is>
          <t>kilogram</t>
        </is>
      </c>
      <c r="F176" s="35" t="inlineStr">
        <is>
          <t>air</t>
        </is>
      </c>
      <c r="G176" s="35" t="inlineStr">
        <is>
          <t>biosphere</t>
        </is>
      </c>
      <c r="H176" s="42" t="inlineStr">
        <is>
          <t>biosphere3</t>
        </is>
      </c>
      <c r="I176" s="35" t="n"/>
      <c r="L176" s="12" t="n"/>
      <c r="M176" s="12" t="n"/>
      <c r="N176" s="12" t="n"/>
      <c r="O176" s="12" t="n"/>
      <c r="P176" s="12" t="n"/>
      <c r="Q176" s="12" t="n"/>
      <c r="R176" s="12" t="n"/>
    </row>
    <row r="177" ht="15.6" customFormat="1" customHeight="1" s="8">
      <c r="A177" s="35" t="inlineStr">
        <is>
          <t>Pentachlorophenol</t>
        </is>
      </c>
      <c r="B177" s="37" t="n">
        <v>2.46e-06</v>
      </c>
      <c r="C177" s="35" t="n"/>
      <c r="D177" s="35" t="n"/>
      <c r="E177" s="35" t="inlineStr">
        <is>
          <t>kilogram</t>
        </is>
      </c>
      <c r="F177" s="35" t="inlineStr">
        <is>
          <t>air</t>
        </is>
      </c>
      <c r="G177" s="35" t="inlineStr">
        <is>
          <t>biosphere</t>
        </is>
      </c>
      <c r="H177" s="42" t="inlineStr">
        <is>
          <t>biosphere3</t>
        </is>
      </c>
      <c r="I177" s="35" t="n"/>
      <c r="L177" s="12" t="n"/>
      <c r="M177" s="12" t="n"/>
      <c r="N177" s="12" t="n"/>
      <c r="O177" s="12" t="n"/>
      <c r="P177" s="12" t="n"/>
      <c r="Q177" s="12" t="n"/>
      <c r="R177" s="12" t="n"/>
    </row>
    <row r="178" ht="15.6" customFormat="1" customHeight="1" s="8">
      <c r="A178" s="35" t="inlineStr">
        <is>
          <t>Perfluoropentane</t>
        </is>
      </c>
      <c r="B178" s="37" t="n">
        <v>3.43e-06</v>
      </c>
      <c r="C178" s="35" t="n"/>
      <c r="D178" s="35" t="n"/>
      <c r="E178" s="35" t="inlineStr">
        <is>
          <t>kilogram</t>
        </is>
      </c>
      <c r="F178" s="35" t="inlineStr">
        <is>
          <t>air</t>
        </is>
      </c>
      <c r="G178" s="35" t="inlineStr">
        <is>
          <t>biosphere</t>
        </is>
      </c>
      <c r="H178" s="42" t="inlineStr">
        <is>
          <t>biosphere3</t>
        </is>
      </c>
      <c r="I178" s="35" t="n"/>
      <c r="L178" s="12" t="n"/>
      <c r="M178" s="12" t="n"/>
      <c r="N178" s="12" t="n"/>
      <c r="O178" s="12" t="n"/>
      <c r="P178" s="12" t="n"/>
      <c r="Q178" s="12" t="n"/>
      <c r="R178" s="12" t="n"/>
    </row>
    <row r="179" ht="15.6" customFormat="1" customHeight="1" s="8">
      <c r="A179" s="35" t="inlineStr">
        <is>
          <t>PAH, polycyclic aromatic hydrocarbons</t>
        </is>
      </c>
      <c r="B179" s="37" t="n">
        <v>0.0015</v>
      </c>
      <c r="C179" s="35" t="n"/>
      <c r="D179" s="35" t="n"/>
      <c r="E179" s="35" t="inlineStr">
        <is>
          <t>kilogram</t>
        </is>
      </c>
      <c r="F179" s="35" t="inlineStr">
        <is>
          <t>air</t>
        </is>
      </c>
      <c r="G179" s="35" t="inlineStr">
        <is>
          <t>biosphere</t>
        </is>
      </c>
      <c r="H179" s="42" t="inlineStr">
        <is>
          <t>biosphere3</t>
        </is>
      </c>
      <c r="I179" s="35" t="n"/>
      <c r="L179" s="12" t="n"/>
      <c r="M179" s="12" t="n"/>
      <c r="N179" s="12" t="n"/>
      <c r="O179" s="12" t="n"/>
      <c r="P179" s="12" t="n"/>
      <c r="Q179" s="12" t="n"/>
      <c r="R179" s="12" t="n"/>
    </row>
    <row r="180" ht="15.6" customFormat="1" customHeight="1" s="8">
      <c r="A180" s="35" t="inlineStr">
        <is>
          <t>Mercury II</t>
        </is>
      </c>
      <c r="B180" s="37" t="n">
        <v>0.000262</v>
      </c>
      <c r="C180" s="35" t="n"/>
      <c r="D180" s="35" t="n"/>
      <c r="E180" s="35" t="inlineStr">
        <is>
          <t>kilogram</t>
        </is>
      </c>
      <c r="F180" s="35" t="inlineStr">
        <is>
          <t>air</t>
        </is>
      </c>
      <c r="G180" s="35" t="inlineStr">
        <is>
          <t>biosphere</t>
        </is>
      </c>
      <c r="H180" s="42" t="inlineStr">
        <is>
          <t>biosphere3</t>
        </is>
      </c>
      <c r="I180" s="35" t="n"/>
      <c r="L180" s="12" t="n"/>
      <c r="M180" s="12" t="n"/>
      <c r="N180" s="12" t="n"/>
      <c r="O180" s="12" t="n"/>
      <c r="P180" s="12" t="n"/>
      <c r="Q180" s="12" t="n"/>
      <c r="R180" s="12" t="n"/>
    </row>
    <row r="181" ht="15.6" customFormat="1" customHeight="1" s="8">
      <c r="A181" s="35" t="inlineStr">
        <is>
          <t>Sulfur hexafluoride</t>
        </is>
      </c>
      <c r="B181" s="37" t="n">
        <v>4.43e-05</v>
      </c>
      <c r="C181" s="35" t="n"/>
      <c r="D181" s="35" t="n"/>
      <c r="E181" s="35" t="inlineStr">
        <is>
          <t>kilogram</t>
        </is>
      </c>
      <c r="F181" s="35" t="inlineStr">
        <is>
          <t>air</t>
        </is>
      </c>
      <c r="G181" s="35" t="inlineStr">
        <is>
          <t>biosphere</t>
        </is>
      </c>
      <c r="H181" s="42" t="inlineStr">
        <is>
          <t>biosphere3</t>
        </is>
      </c>
      <c r="I181" s="35" t="n"/>
      <c r="L181" s="12" t="n"/>
      <c r="M181" s="12" t="n"/>
      <c r="N181" s="12" t="n"/>
      <c r="O181" s="12" t="n"/>
      <c r="P181" s="12" t="n"/>
      <c r="Q181" s="12" t="n"/>
      <c r="R181" s="12" t="n"/>
    </row>
    <row r="182" ht="15.6" customFormat="1" customHeight="1" s="8">
      <c r="A182" s="35" t="inlineStr">
        <is>
          <t>Sulfur dioxide</t>
        </is>
      </c>
      <c r="B182" s="44" t="n">
        <v>2172.255</v>
      </c>
      <c r="C182" s="35" t="n"/>
      <c r="D182" s="35" t="n"/>
      <c r="E182" s="35" t="inlineStr">
        <is>
          <t>kilogram</t>
        </is>
      </c>
      <c r="F182" s="35" t="inlineStr">
        <is>
          <t>air</t>
        </is>
      </c>
      <c r="G182" s="35" t="inlineStr">
        <is>
          <t>biosphere</t>
        </is>
      </c>
      <c r="H182" s="42" t="inlineStr">
        <is>
          <t>biosphere3</t>
        </is>
      </c>
      <c r="I182" s="35" t="n"/>
      <c r="L182" s="12" t="n"/>
      <c r="M182" s="12" t="n"/>
      <c r="N182" s="12" t="n"/>
      <c r="O182" s="12" t="n"/>
      <c r="P182" s="12" t="n"/>
      <c r="Q182" s="12" t="n"/>
      <c r="R182" s="12" t="n"/>
    </row>
    <row r="183" ht="15.6" customFormat="1" customHeight="1" s="8">
      <c r="A183" s="35" t="inlineStr">
        <is>
          <t>Zinc II</t>
        </is>
      </c>
      <c r="B183" s="37" t="n">
        <v>0.0679</v>
      </c>
      <c r="C183" s="35" t="n"/>
      <c r="D183" s="35" t="n"/>
      <c r="E183" s="35" t="inlineStr">
        <is>
          <t>kilogram</t>
        </is>
      </c>
      <c r="F183" s="35" t="inlineStr">
        <is>
          <t>air</t>
        </is>
      </c>
      <c r="G183" s="35" t="inlineStr">
        <is>
          <t>biosphere</t>
        </is>
      </c>
      <c r="H183" s="42" t="inlineStr">
        <is>
          <t>biosphere3</t>
        </is>
      </c>
      <c r="I183" s="35" t="n"/>
      <c r="L183" s="12" t="n"/>
      <c r="M183" s="12" t="n"/>
      <c r="N183" s="12" t="n"/>
      <c r="O183" s="12" t="n"/>
      <c r="P183" s="12" t="n"/>
      <c r="Q183" s="12" t="n"/>
      <c r="R183" s="12" t="n"/>
    </row>
    <row r="184" ht="15" customFormat="1" customHeight="1" s="8">
      <c r="B184" s="9" t="n"/>
      <c r="L184" s="9" t="n"/>
      <c r="M184" s="9" t="n"/>
      <c r="N184" s="9" t="n"/>
      <c r="O184" s="9" t="n"/>
      <c r="P184" s="9" t="n"/>
      <c r="Q184" s="9" t="n"/>
    </row>
    <row r="185" ht="15.6" customFormat="1" customHeight="1" s="8">
      <c r="A185" s="49" t="inlineStr">
        <is>
          <t>Activity</t>
        </is>
      </c>
      <c r="B185" s="84" t="inlineStr">
        <is>
          <t>hydrogen production, gaseous, 20 bar, from AEC electrolysis, from grid electricity</t>
        </is>
      </c>
      <c r="C185" s="50" t="n"/>
      <c r="D185" s="51" t="n"/>
      <c r="E185" s="50" t="n"/>
      <c r="F185" s="50" t="n"/>
      <c r="G185" s="50" t="n"/>
      <c r="H185" s="50" t="n"/>
      <c r="I185" s="50" t="n"/>
      <c r="L185" s="9" t="n"/>
      <c r="M185" s="9" t="n"/>
      <c r="N185" s="9" t="n"/>
      <c r="O185" s="9" t="n"/>
      <c r="P185" s="9" t="n"/>
      <c r="Q185" s="9" t="n"/>
    </row>
    <row r="186" ht="15" customFormat="1" customHeight="1" s="8">
      <c r="A186" s="52" t="inlineStr">
        <is>
          <t>production amount</t>
        </is>
      </c>
      <c r="B186" s="85" t="n">
        <v>1</v>
      </c>
      <c r="C186" s="50" t="n"/>
      <c r="D186" s="50" t="n"/>
      <c r="E186" s="50" t="n"/>
      <c r="F186" s="50" t="n"/>
      <c r="G186" s="50" t="n"/>
      <c r="H186" s="50" t="n"/>
      <c r="I186" s="50" t="n"/>
      <c r="L186" s="9" t="n"/>
      <c r="M186" s="9" t="n"/>
      <c r="N186" s="9" t="n"/>
      <c r="O186" s="9" t="n"/>
      <c r="P186" s="9" t="n"/>
      <c r="Q186" s="9" t="n"/>
    </row>
    <row r="187" ht="15" customFormat="1" customHeight="1" s="8">
      <c r="A187" s="52" t="inlineStr">
        <is>
          <t>comment</t>
        </is>
      </c>
      <c r="B187" s="85" t="inlineStr">
        <is>
          <t>1 kg H2 produced using a AEC electrolyzer. Original source: 1 MW AEC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t>
        </is>
      </c>
      <c r="C187" s="50" t="n"/>
      <c r="D187" s="50" t="n"/>
      <c r="E187" s="50" t="n"/>
      <c r="F187" s="50" t="n"/>
      <c r="G187" s="50" t="n"/>
      <c r="H187" s="50" t="n"/>
      <c r="I187" s="50" t="n"/>
      <c r="L187" s="9" t="n"/>
      <c r="M187" s="9" t="n"/>
      <c r="N187" s="9" t="n"/>
      <c r="O187" s="9" t="n"/>
      <c r="P187" s="9" t="n"/>
      <c r="Q187" s="9" t="n"/>
    </row>
    <row r="188" ht="15" customFormat="1" customHeight="1" s="8">
      <c r="A188" s="52" t="inlineStr">
        <is>
          <t>reference product</t>
        </is>
      </c>
      <c r="B188" s="86" t="inlineStr">
        <is>
          <t>hydrogen, gaseous, 20 bar</t>
        </is>
      </c>
      <c r="C188" s="50" t="n"/>
      <c r="D188" s="50" t="n"/>
      <c r="E188" s="50" t="n"/>
      <c r="F188" s="50" t="n"/>
      <c r="G188" s="50" t="n"/>
      <c r="H188" s="50" t="n"/>
      <c r="I188" s="50" t="n"/>
      <c r="L188" s="9" t="n"/>
      <c r="M188" s="9" t="n"/>
      <c r="N188" s="9" t="n"/>
      <c r="O188" s="9" t="n"/>
      <c r="P188" s="9" t="n"/>
      <c r="Q188" s="9" t="n"/>
    </row>
    <row r="189" ht="15" customFormat="1" customHeight="1" s="8">
      <c r="A189" s="52" t="inlineStr">
        <is>
          <t>location</t>
        </is>
      </c>
      <c r="B189" s="85" t="inlineStr">
        <is>
          <t>CH</t>
        </is>
      </c>
      <c r="C189" s="50" t="n"/>
      <c r="D189" s="50" t="n"/>
      <c r="E189" s="50" t="n"/>
      <c r="F189" s="50" t="n"/>
      <c r="G189" s="50" t="n"/>
      <c r="H189" s="50" t="n"/>
      <c r="I189" s="50" t="n"/>
      <c r="L189" s="9" t="n"/>
      <c r="M189" s="9" t="n"/>
      <c r="N189" s="9" t="n"/>
      <c r="O189" s="9" t="n"/>
      <c r="P189" s="9" t="n"/>
      <c r="Q189" s="9" t="n"/>
    </row>
    <row r="190" ht="15.6" customFormat="1" customHeight="1" s="8">
      <c r="A190" s="52" t="inlineStr">
        <is>
          <t>unit</t>
        </is>
      </c>
      <c r="B190" s="56" t="inlineStr">
        <is>
          <t>kilogram</t>
        </is>
      </c>
      <c r="C190" s="50" t="n"/>
      <c r="D190" s="50" t="n"/>
      <c r="E190" s="50" t="n"/>
      <c r="F190" s="50" t="n"/>
      <c r="G190" s="50" t="n"/>
      <c r="H190" s="50" t="n"/>
      <c r="I190" s="54" t="n"/>
      <c r="J190" s="10" t="n"/>
      <c r="K190" s="10" t="n"/>
      <c r="L190" s="9" t="n"/>
      <c r="M190" s="9" t="n"/>
      <c r="N190" s="9" t="n"/>
      <c r="O190" s="9" t="n"/>
      <c r="P190" s="9" t="n"/>
      <c r="Q190" s="9" t="n"/>
    </row>
    <row r="191" ht="15.6" customFormat="1" customHeight="1" s="8">
      <c r="A191" s="54" t="inlineStr">
        <is>
          <t>Exchanges</t>
        </is>
      </c>
      <c r="B191" s="84" t="n"/>
      <c r="C191" s="54" t="n"/>
      <c r="D191" s="54" t="n"/>
      <c r="E191" s="54" t="n"/>
      <c r="F191" s="54" t="n"/>
      <c r="G191" s="54" t="n"/>
      <c r="H191" s="54" t="n"/>
      <c r="I191" s="51" t="n"/>
      <c r="J191" s="7" t="n"/>
      <c r="K191" s="7" t="n"/>
      <c r="L191" s="9" t="n"/>
      <c r="M191" s="9" t="n"/>
      <c r="N191" s="9" t="n"/>
      <c r="O191" s="9" t="n"/>
      <c r="P191" s="9" t="n"/>
      <c r="Q191" s="9" t="n"/>
    </row>
    <row r="192" ht="15.6" customFormat="1" customHeight="1" s="8">
      <c r="A192" s="54" t="inlineStr">
        <is>
          <t>name</t>
        </is>
      </c>
      <c r="B192" s="84" t="inlineStr">
        <is>
          <t>amount</t>
        </is>
      </c>
      <c r="C192" s="54" t="inlineStr">
        <is>
          <t>reference product</t>
        </is>
      </c>
      <c r="D192" s="54" t="inlineStr">
        <is>
          <t>location</t>
        </is>
      </c>
      <c r="E192" s="54" t="inlineStr">
        <is>
          <t>unit</t>
        </is>
      </c>
      <c r="F192" s="54" t="inlineStr">
        <is>
          <t>categories</t>
        </is>
      </c>
      <c r="G192" s="54" t="inlineStr">
        <is>
          <t>type</t>
        </is>
      </c>
      <c r="H192" s="53" t="inlineStr">
        <is>
          <t>database</t>
        </is>
      </c>
      <c r="I192" s="55" t="inlineStr">
        <is>
          <t>comment</t>
        </is>
      </c>
      <c r="J192" s="10" t="n"/>
      <c r="K192" s="6" t="n"/>
      <c r="L192" s="11" t="n"/>
      <c r="M192" s="11" t="n"/>
      <c r="N192" s="11" t="n"/>
      <c r="O192" s="11" t="n"/>
      <c r="P192" s="11" t="n"/>
      <c r="Q192" s="11" t="n"/>
      <c r="R192" s="6" t="n"/>
      <c r="S192" s="6" t="n"/>
      <c r="T192" s="10" t="n"/>
      <c r="U192" s="6" t="n"/>
    </row>
    <row r="193" ht="15.6" customFormat="1" customHeight="1" s="8">
      <c r="A193" s="53" t="inlineStr">
        <is>
          <t>hydrogen production, gaseous, 20 bar, from AEC electrolysis, from grid electricity</t>
        </is>
      </c>
      <c r="B193" s="56" t="n">
        <v>1</v>
      </c>
      <c r="C193" s="50" t="inlineStr">
        <is>
          <t>hydrogen, gaseous, 20 bar</t>
        </is>
      </c>
      <c r="D193" s="50" t="inlineStr">
        <is>
          <t>CH</t>
        </is>
      </c>
      <c r="E193" s="50" t="inlineStr">
        <is>
          <t>kilogram</t>
        </is>
      </c>
      <c r="F193" s="51" t="n"/>
      <c r="G193" s="50" t="inlineStr">
        <is>
          <t>production</t>
        </is>
      </c>
      <c r="H193" s="53" t="inlineStr">
        <is>
          <t>h2_electrolysis</t>
        </is>
      </c>
      <c r="I193" s="51" t="n"/>
      <c r="J193" s="7" t="n"/>
      <c r="L193" s="9" t="n"/>
      <c r="M193" s="9" t="n"/>
      <c r="N193" s="9" t="n"/>
      <c r="O193" s="9" t="n"/>
      <c r="P193" s="9" t="n"/>
      <c r="Q193" s="9" t="n"/>
    </row>
    <row r="194" ht="15.6" customFormat="1" customHeight="1" s="8">
      <c r="A194" s="53" t="inlineStr">
        <is>
          <t>electrolyzer production, 1MWe, AEC, Stack</t>
        </is>
      </c>
      <c r="B194" s="53" t="n">
        <v>9.391435011269722e-07</v>
      </c>
      <c r="C194" s="50" t="inlineStr">
        <is>
          <t>electrolyzer, 1MWe, AEC, Stack</t>
        </is>
      </c>
      <c r="D194" s="50" t="inlineStr">
        <is>
          <t>RER</t>
        </is>
      </c>
      <c r="E194" s="50" t="inlineStr">
        <is>
          <t>unit</t>
        </is>
      </c>
      <c r="F194" s="50" t="n"/>
      <c r="G194" s="50" t="inlineStr">
        <is>
          <t>technosphere</t>
        </is>
      </c>
      <c r="H194" s="50" t="inlineStr">
        <is>
          <t>h2_electrolysis</t>
        </is>
      </c>
      <c r="I194" s="50" t="inlineStr">
        <is>
          <t>Stack, 7 years lifetime.</t>
        </is>
      </c>
      <c r="L194" s="12" t="n"/>
      <c r="M194" s="12" t="n"/>
      <c r="N194" s="12" t="n"/>
      <c r="O194" s="12" t="n"/>
      <c r="P194" s="12" t="n"/>
      <c r="Q194" s="12" t="n"/>
    </row>
    <row r="195" ht="15.6" customFormat="1" customHeight="1" s="8">
      <c r="A195" s="53" t="inlineStr">
        <is>
          <t>electrolyzer production, 1MWe, AEC, Balance of Plant</t>
        </is>
      </c>
      <c r="B195" s="53" t="n">
        <v>2.347858752817431e-07</v>
      </c>
      <c r="C195" s="50" t="inlineStr">
        <is>
          <t>electrolyzer, 1MWe, AEC, Balance of Plant</t>
        </is>
      </c>
      <c r="D195" s="50" t="inlineStr">
        <is>
          <t>RER</t>
        </is>
      </c>
      <c r="E195" s="50" t="inlineStr">
        <is>
          <t>unit</t>
        </is>
      </c>
      <c r="F195" s="50" t="n"/>
      <c r="G195" s="50" t="inlineStr">
        <is>
          <t>technosphere</t>
        </is>
      </c>
      <c r="H195" s="50" t="inlineStr">
        <is>
          <t>h2_electrolysis</t>
        </is>
      </c>
      <c r="I195" s="50" t="inlineStr">
        <is>
          <t>BoP, 27.5 years lifetime.</t>
        </is>
      </c>
      <c r="L195" s="12" t="n"/>
      <c r="M195" s="12" t="n"/>
      <c r="N195" s="12" t="n"/>
      <c r="O195" s="12" t="n"/>
      <c r="P195" s="12" t="n"/>
      <c r="Q195" s="12" t="n"/>
    </row>
    <row r="196" ht="15.6" customFormat="1" customHeight="1" s="8">
      <c r="A196" s="53" t="inlineStr">
        <is>
          <t>treatment of fuel cell stack, 1MWe, AEC</t>
        </is>
      </c>
      <c r="B196" s="53" t="n">
        <v>-9.391435011269722e-07</v>
      </c>
      <c r="C196" s="50" t="inlineStr">
        <is>
          <t>used fuel cell stack, 1MWe, AEC</t>
        </is>
      </c>
      <c r="D196" s="50" t="inlineStr">
        <is>
          <t>RER</t>
        </is>
      </c>
      <c r="E196" s="50" t="inlineStr">
        <is>
          <t>unit</t>
        </is>
      </c>
      <c r="F196" s="50" t="n"/>
      <c r="G196" s="50" t="inlineStr">
        <is>
          <t>technosphere</t>
        </is>
      </c>
      <c r="H196" s="50" t="inlineStr">
        <is>
          <t>h2_electrolysis</t>
        </is>
      </c>
      <c r="I196" s="50" t="inlineStr">
        <is>
          <t>Stack EoL</t>
        </is>
      </c>
      <c r="L196" s="12" t="n"/>
      <c r="M196" s="12" t="n"/>
      <c r="N196" s="12" t="n"/>
      <c r="O196" s="12" t="n"/>
      <c r="P196" s="12" t="n"/>
      <c r="Q196" s="12" t="n"/>
    </row>
    <row r="197" ht="15.6" customFormat="1" customHeight="1" s="8">
      <c r="A197" s="53" t="inlineStr">
        <is>
          <t>treatment of fuel cell balance of plant, 1MWe, AEC</t>
        </is>
      </c>
      <c r="B197" s="53" t="n">
        <v>-2.347858752817431e-07</v>
      </c>
      <c r="C197" s="50" t="inlineStr">
        <is>
          <t>used fuel cell balance of plant, 1MWe, AEC</t>
        </is>
      </c>
      <c r="D197" s="50" t="inlineStr">
        <is>
          <t>RER</t>
        </is>
      </c>
      <c r="E197" s="50" t="inlineStr">
        <is>
          <t>unit</t>
        </is>
      </c>
      <c r="F197" s="50" t="n"/>
      <c r="G197" s="50" t="inlineStr">
        <is>
          <t>technosphere</t>
        </is>
      </c>
      <c r="H197" s="50" t="inlineStr">
        <is>
          <t>h2_electrolysis</t>
        </is>
      </c>
      <c r="I197" s="50" t="inlineStr">
        <is>
          <t>BoP EoL</t>
        </is>
      </c>
      <c r="L197" s="12" t="n"/>
      <c r="M197" s="12" t="n"/>
      <c r="N197" s="12" t="n"/>
      <c r="O197" s="12" t="n"/>
      <c r="P197" s="12" t="n"/>
      <c r="Q197" s="12" t="n"/>
    </row>
    <row r="198" ht="15.6" customFormat="1" customHeight="1" s="8">
      <c r="A198" s="52" t="inlineStr">
        <is>
          <t>Electricity, low voltage, at grid</t>
        </is>
      </c>
      <c r="B198" s="56" t="n">
        <v>51.8</v>
      </c>
      <c r="C198" s="50" t="inlineStr">
        <is>
          <t>Electricity, low voltage, at grid</t>
        </is>
      </c>
      <c r="D198" s="50" t="inlineStr">
        <is>
          <t>CH</t>
        </is>
      </c>
      <c r="E198" s="50" t="inlineStr">
        <is>
          <t>kilowatt hour</t>
        </is>
      </c>
      <c r="F198" s="51" t="n"/>
      <c r="G198" s="50" t="inlineStr">
        <is>
          <t>technosphere</t>
        </is>
      </c>
      <c r="H198" s="50" t="inlineStr">
        <is>
          <t>bafu</t>
        </is>
      </c>
      <c r="I198" s="51" t="inlineStr">
        <is>
          <t>Electricity consumption with 64.5% eff.</t>
        </is>
      </c>
      <c r="L198" s="12" t="n"/>
      <c r="M198" s="12" t="n"/>
      <c r="N198" s="12" t="n"/>
      <c r="O198" s="12" t="n"/>
      <c r="P198" s="12" t="n"/>
      <c r="Q198" s="12" t="n"/>
    </row>
    <row r="199" ht="15.6" customFormat="1" customHeight="1" s="8">
      <c r="A199" s="52" t="inlineStr">
        <is>
          <t>Potassium hydroxide, at regional storage</t>
        </is>
      </c>
      <c r="B199" s="53" t="n">
        <v>0.0037</v>
      </c>
      <c r="C199" s="52" t="inlineStr">
        <is>
          <t>Potassium hydroxide, at regional storage</t>
        </is>
      </c>
      <c r="D199" s="50" t="inlineStr">
        <is>
          <t>RER</t>
        </is>
      </c>
      <c r="E199" s="50" t="inlineStr">
        <is>
          <t>kilogram</t>
        </is>
      </c>
      <c r="F199" s="51" t="n"/>
      <c r="G199" s="50" t="inlineStr">
        <is>
          <t>technosphere</t>
        </is>
      </c>
      <c r="H199" s="50" t="inlineStr">
        <is>
          <t>bafu</t>
        </is>
      </c>
      <c r="I199" s="51" t="inlineStr">
        <is>
          <t>KOH input</t>
        </is>
      </c>
      <c r="L199" s="12" t="n"/>
      <c r="M199" s="12" t="n"/>
      <c r="N199" s="12" t="n"/>
      <c r="O199" s="12" t="n"/>
      <c r="P199" s="12" t="n"/>
      <c r="Q199" s="12" t="n"/>
    </row>
    <row r="200" ht="15.6" customFormat="1" customHeight="1" s="8">
      <c r="A200" s="52" t="inlineStr">
        <is>
          <t>Water, deionised, at plant</t>
        </is>
      </c>
      <c r="B200" s="56" t="n">
        <v>14</v>
      </c>
      <c r="C200" s="50" t="inlineStr">
        <is>
          <t>Water, deionised, at plant</t>
        </is>
      </c>
      <c r="D200" s="50" t="inlineStr">
        <is>
          <t>CH</t>
        </is>
      </c>
      <c r="E200" s="50" t="inlineStr">
        <is>
          <t>kilogram</t>
        </is>
      </c>
      <c r="F200" s="50" t="n"/>
      <c r="G200" s="50" t="inlineStr">
        <is>
          <t>technosphere</t>
        </is>
      </c>
      <c r="H200" s="50" t="inlineStr">
        <is>
          <t>bafu</t>
        </is>
      </c>
      <c r="I200" s="57" t="inlineStr">
        <is>
          <t xml:space="preserve">A perfect reaction of H2O results in 1 kg H2 and 8 kg O2, and needs 9 kg H2O, however, considering some losses we assume 14 kg H2O (Simoes et al., 2021). </t>
        </is>
      </c>
      <c r="L200" s="12" t="n"/>
      <c r="M200" s="12" t="n"/>
      <c r="N200" s="12" t="n"/>
      <c r="O200" s="12" t="n"/>
      <c r="P200" s="12" t="n"/>
      <c r="Q200" s="12" t="n"/>
    </row>
    <row r="201" ht="15.6" customFormat="1" customHeight="1" s="8">
      <c r="A201" s="60" t="inlineStr">
        <is>
          <t>Oxygen</t>
        </is>
      </c>
      <c r="B201" s="86" t="n">
        <v>8</v>
      </c>
      <c r="C201" s="60" t="n"/>
      <c r="D201" s="60" t="n"/>
      <c r="E201" s="60" t="inlineStr">
        <is>
          <t>kilogram</t>
        </is>
      </c>
      <c r="F201" s="60" t="inlineStr">
        <is>
          <t>air</t>
        </is>
      </c>
      <c r="G201" s="60" t="inlineStr">
        <is>
          <t>biosphere</t>
        </is>
      </c>
      <c r="H201" s="60" t="inlineStr">
        <is>
          <t>biosphere3</t>
        </is>
      </c>
      <c r="I201" s="60" t="n"/>
      <c r="L201" s="12" t="n"/>
      <c r="M201" s="12" t="n"/>
      <c r="N201" s="12" t="n"/>
      <c r="O201" s="12" t="n"/>
      <c r="P201" s="12" t="n"/>
      <c r="Q201" s="12" t="n"/>
      <c r="R201" s="12" t="n"/>
    </row>
    <row r="202" ht="15.6" customFormat="1" customHeight="1" s="8">
      <c r="A202" s="60" t="inlineStr">
        <is>
          <t>Occupation, industrial area</t>
        </is>
      </c>
      <c r="B202" s="53" t="n">
        <v>0.0007747933884297521</v>
      </c>
      <c r="C202" s="50" t="n"/>
      <c r="D202" s="60" t="n"/>
      <c r="E202" s="60" t="inlineStr">
        <is>
          <t>square meter-year</t>
        </is>
      </c>
      <c r="F202" s="60" t="inlineStr">
        <is>
          <t>natural resource::land</t>
        </is>
      </c>
      <c r="G202" s="60" t="inlineStr">
        <is>
          <t>biosphere</t>
        </is>
      </c>
      <c r="H202" s="60" t="inlineStr">
        <is>
          <t>biosphere3</t>
        </is>
      </c>
      <c r="I202" s="60" t="inlineStr">
        <is>
          <t>Electrolyser land footprint: (0.12 [m2/kW]*1000[kW/MW])/(4259200[kg H2 per lifetime]/27.5[years])</t>
        </is>
      </c>
      <c r="J202" s="8" t="n">
        <v>2</v>
      </c>
      <c r="K202" t="n">
        <v>-7.162914159728358</v>
      </c>
      <c r="L202" s="12" t="n">
        <v>1.05</v>
      </c>
      <c r="M202" s="12" t="n">
        <v>1.1</v>
      </c>
      <c r="N202" s="12" t="n">
        <v>1</v>
      </c>
      <c r="O202" s="12" t="n">
        <v>1.02</v>
      </c>
      <c r="P202" s="12" t="n">
        <v>1.2</v>
      </c>
      <c r="Q202" s="12" t="n">
        <v>1.2</v>
      </c>
      <c r="R202" s="12" t="n">
        <v>1.5</v>
      </c>
      <c r="S202" t="n">
        <v>0.2463437174856263</v>
      </c>
    </row>
    <row r="203" ht="15.6" customFormat="1" customHeight="1" s="8">
      <c r="A203" s="60" t="inlineStr">
        <is>
          <t>Transformation, from industrial area</t>
        </is>
      </c>
      <c r="B203" s="53" t="n">
        <v>2.817430503380917e-05</v>
      </c>
      <c r="C203" s="50" t="n"/>
      <c r="D203" s="60" t="n"/>
      <c r="E203" s="60" t="inlineStr">
        <is>
          <t>square meter</t>
        </is>
      </c>
      <c r="F203" s="60" t="inlineStr">
        <is>
          <t>natural resource::land</t>
        </is>
      </c>
      <c r="G203" s="60" t="inlineStr">
        <is>
          <t>biosphere</t>
        </is>
      </c>
      <c r="H203" s="60" t="inlineStr">
        <is>
          <t>biosphere3</t>
        </is>
      </c>
      <c r="I203" s="60" t="inlineStr">
        <is>
          <t>Electrolyser land transformation: (0.12 [m2/kW]*1000 [kW/MW])/4259200 [kg H2]</t>
        </is>
      </c>
      <c r="J203" s="8" t="n">
        <v>2</v>
      </c>
      <c r="K203" t="n">
        <v>-10.47710016440088</v>
      </c>
      <c r="L203" s="12" t="n">
        <v>1.05</v>
      </c>
      <c r="M203" s="12" t="n">
        <v>1.1</v>
      </c>
      <c r="N203" s="12" t="n">
        <v>1</v>
      </c>
      <c r="O203" s="12" t="n">
        <v>1.02</v>
      </c>
      <c r="P203" s="12" t="n">
        <v>1.2</v>
      </c>
      <c r="Q203" s="12" t="n">
        <v>1.2</v>
      </c>
      <c r="R203" s="12" t="n">
        <v>1.5</v>
      </c>
      <c r="S203" t="n">
        <v>0.2463437174856263</v>
      </c>
    </row>
    <row r="204" ht="15.6" customFormat="1" customHeight="1" s="8">
      <c r="A204" s="60" t="inlineStr">
        <is>
          <t>Transformation, to industrial area</t>
        </is>
      </c>
      <c r="B204" s="53" t="n">
        <v>2.817430503380917e-05</v>
      </c>
      <c r="C204" s="50" t="n"/>
      <c r="D204" s="60" t="n"/>
      <c r="E204" s="60" t="inlineStr">
        <is>
          <t>square meter</t>
        </is>
      </c>
      <c r="F204" s="60" t="inlineStr">
        <is>
          <t>natural resource::land</t>
        </is>
      </c>
      <c r="G204" s="60" t="inlineStr">
        <is>
          <t>biosphere</t>
        </is>
      </c>
      <c r="H204" s="60" t="inlineStr">
        <is>
          <t>biosphere3</t>
        </is>
      </c>
      <c r="I204" s="60" t="inlineStr">
        <is>
          <t>Electrolyser land transformation: (0.12 [m2/kW]*1000 [kW/MW])/4259200 [kg H2]</t>
        </is>
      </c>
      <c r="J204" s="8" t="n">
        <v>2</v>
      </c>
      <c r="K204" t="n">
        <v>-10.47710016440088</v>
      </c>
      <c r="L204" s="12" t="n">
        <v>1.05</v>
      </c>
      <c r="M204" s="12" t="n">
        <v>1.1</v>
      </c>
      <c r="N204" s="12" t="n">
        <v>1</v>
      </c>
      <c r="O204" s="12" t="n">
        <v>1.02</v>
      </c>
      <c r="P204" s="12" t="n">
        <v>1.2</v>
      </c>
      <c r="Q204" s="12" t="n">
        <v>1.2</v>
      </c>
      <c r="R204" s="12" t="n">
        <v>1.5</v>
      </c>
      <c r="S204" t="n">
        <v>0.2463437174856263</v>
      </c>
    </row>
    <row r="205" ht="15" customFormat="1" customHeight="1" s="8">
      <c r="B205" s="9" t="n"/>
      <c r="L205" s="9" t="n"/>
      <c r="M205" s="9" t="n"/>
      <c r="N205" s="9" t="n"/>
      <c r="O205" s="9" t="n"/>
      <c r="P205" s="9" t="n"/>
      <c r="Q205" s="9" t="n"/>
    </row>
    <row r="206" ht="15.6" customFormat="1" customHeight="1" s="8">
      <c r="A206" s="49" t="inlineStr">
        <is>
          <t>Activity</t>
        </is>
      </c>
      <c r="B206" s="84" t="inlineStr">
        <is>
          <t>electrolyzer production, 1MWe, AEC, Stack</t>
        </is>
      </c>
      <c r="C206" s="50" t="n"/>
      <c r="D206" s="50" t="n"/>
      <c r="E206" s="50" t="n"/>
      <c r="F206" s="50" t="n"/>
      <c r="G206" s="50" t="n"/>
      <c r="H206" s="50" t="n"/>
      <c r="I206" s="50" t="n"/>
      <c r="L206" s="9" t="n"/>
      <c r="M206" s="9" t="n"/>
      <c r="N206" s="9" t="n"/>
      <c r="O206" s="9" t="n"/>
      <c r="P206" s="9" t="n"/>
      <c r="Q206" s="9" t="n"/>
    </row>
    <row r="207" ht="15" customFormat="1" customHeight="1" s="8">
      <c r="A207" s="52" t="inlineStr">
        <is>
          <t>production amount</t>
        </is>
      </c>
      <c r="B207" s="85" t="n">
        <v>1</v>
      </c>
      <c r="C207" s="50" t="n"/>
      <c r="D207" s="50" t="n"/>
      <c r="E207" s="50" t="n"/>
      <c r="F207" s="50" t="n"/>
      <c r="G207" s="50" t="n"/>
      <c r="H207" s="50" t="n"/>
      <c r="I207" s="50" t="n"/>
      <c r="L207" s="9" t="n"/>
      <c r="M207" s="9" t="n"/>
      <c r="N207" s="9" t="n"/>
      <c r="O207" s="9" t="n"/>
      <c r="P207" s="9" t="n"/>
      <c r="Q207" s="9" t="n"/>
    </row>
    <row r="208" ht="15" customFormat="1" customHeight="1" s="8">
      <c r="A208" s="52" t="inlineStr">
        <is>
          <t>comment</t>
        </is>
      </c>
      <c r="B208" s="85" t="inlineStr">
        <is>
          <t>1 MWe Alkaline electrolyzer based on Niklas Gerloff, Comparative Life-Cycle-Assessment analysis of three major water electrolysis technologies while applying various energy scenarios for a greener hydrogen production, Journal of Energy Storage, Volume 43, 2021, https://doi.org/10.1016/j.est.2021.102759. Single stack lifetime of 7-8 years @ 8000 hours/year, hence 3 replacements over 20 years. Produced amount of H2 over 20 years: 3085961.12 kg. The technology is available for large plant sizes and operates with a stack efficiency of up to 67 % (based on the lower heating value (LHV) of the generated H2). The operating temperature is in between 60–80 °C, and the current density is around 0.2–0.4 A/cm2. Moreover, the system energy –including the stack and periphery energy– is in the range of 4.4–6.6 kWh/m3H2, while the gas purity is higher than 99.5%, and the operating pressure is below 30 bar. While the LCI data of the BoP components either originate from Zhang et al., based on a 300-kW system and, therefore, scaled-up to 1 MW by a factor of 0.7, the LCI data of the other BoP components originate from manufacturer offers or have been estimated by own calculations using additional information by the producers.  Values have already been multiplied by 3 to reflect 2 stack replacements over 20 years of use.</t>
        </is>
      </c>
      <c r="C208" s="50" t="n"/>
      <c r="D208" s="50" t="n"/>
      <c r="E208" s="50" t="n"/>
      <c r="F208" s="50" t="n"/>
      <c r="G208" s="50" t="n"/>
      <c r="H208" s="50" t="n"/>
      <c r="I208" s="50" t="n"/>
      <c r="L208" s="9" t="n"/>
      <c r="M208" s="9" t="n"/>
      <c r="N208" s="9" t="n"/>
      <c r="O208" s="9" t="n"/>
      <c r="P208" s="9" t="n"/>
      <c r="Q208" s="9" t="n"/>
    </row>
    <row r="209" ht="15" customFormat="1" customHeight="1" s="8">
      <c r="A209" s="52" t="inlineStr">
        <is>
          <t>reference product</t>
        </is>
      </c>
      <c r="B209" s="56" t="inlineStr">
        <is>
          <t>electrolyzer, 1MWe, AEC, Stack</t>
        </is>
      </c>
      <c r="C209" s="50" t="n"/>
      <c r="D209" s="50" t="n"/>
      <c r="E209" s="50" t="n"/>
      <c r="F209" s="50" t="n"/>
      <c r="G209" s="50" t="n"/>
      <c r="H209" s="50" t="n"/>
      <c r="I209" s="50" t="n"/>
      <c r="L209" s="9" t="n"/>
      <c r="M209" s="9" t="n"/>
      <c r="N209" s="9" t="n"/>
      <c r="O209" s="9" t="n"/>
      <c r="P209" s="9" t="n"/>
      <c r="Q209" s="9" t="n"/>
    </row>
    <row r="210" ht="15" customFormat="1" customHeight="1" s="8">
      <c r="A210" s="52" t="inlineStr">
        <is>
          <t>location</t>
        </is>
      </c>
      <c r="B210" s="85" t="inlineStr">
        <is>
          <t>RER</t>
        </is>
      </c>
      <c r="C210" s="50" t="n"/>
      <c r="D210" s="50" t="n"/>
      <c r="E210" s="50" t="n"/>
      <c r="F210" s="50" t="n"/>
      <c r="G210" s="50" t="n"/>
      <c r="H210" s="50" t="n"/>
      <c r="I210" s="50" t="n"/>
      <c r="L210" s="9" t="n"/>
      <c r="M210" s="9" t="n"/>
      <c r="N210" s="9" t="n"/>
      <c r="O210" s="9" t="n"/>
      <c r="P210" s="9" t="n"/>
      <c r="Q210" s="9" t="n"/>
    </row>
    <row r="211" ht="15" customFormat="1" customHeight="1" s="8">
      <c r="A211" s="52" t="inlineStr">
        <is>
          <t>unit</t>
        </is>
      </c>
      <c r="B211" s="56" t="inlineStr">
        <is>
          <t>unit</t>
        </is>
      </c>
      <c r="C211" s="50" t="n"/>
      <c r="D211" s="50" t="n"/>
      <c r="E211" s="50" t="n"/>
      <c r="F211" s="50" t="n"/>
      <c r="G211" s="50" t="n"/>
      <c r="H211" s="50" t="n"/>
      <c r="I211" s="50" t="n"/>
      <c r="L211" s="9" t="n"/>
      <c r="M211" s="9" t="n"/>
      <c r="N211" s="9" t="n"/>
      <c r="O211" s="9" t="n"/>
      <c r="P211" s="9" t="n"/>
      <c r="Q211" s="9" t="n"/>
    </row>
    <row r="212" ht="15.6" customFormat="1" customHeight="1" s="8">
      <c r="A212" s="54" t="inlineStr">
        <is>
          <t>Exchanges</t>
        </is>
      </c>
      <c r="B212" s="84" t="n"/>
      <c r="C212" s="54" t="n"/>
      <c r="D212" s="54" t="n"/>
      <c r="E212" s="54" t="n"/>
      <c r="F212" s="54" t="n"/>
      <c r="G212" s="54" t="n"/>
      <c r="H212" s="54" t="n"/>
      <c r="I212" s="54" t="n"/>
      <c r="J212" s="10" t="n"/>
      <c r="K212" s="10" t="n"/>
      <c r="L212" s="9" t="n"/>
      <c r="M212" s="9" t="n"/>
      <c r="N212" s="9" t="n"/>
      <c r="O212" s="9" t="n"/>
      <c r="P212" s="9" t="n"/>
      <c r="Q212" s="9" t="n"/>
    </row>
    <row r="213" ht="15.6" customFormat="1" customHeight="1" s="8">
      <c r="A213" s="54" t="inlineStr">
        <is>
          <t>name</t>
        </is>
      </c>
      <c r="B213" s="84" t="inlineStr">
        <is>
          <t>amount</t>
        </is>
      </c>
      <c r="C213" s="54" t="inlineStr">
        <is>
          <t>reference product</t>
        </is>
      </c>
      <c r="D213" s="54" t="inlineStr">
        <is>
          <t>location</t>
        </is>
      </c>
      <c r="E213" s="54" t="inlineStr">
        <is>
          <t>unit</t>
        </is>
      </c>
      <c r="F213" s="55" t="inlineStr">
        <is>
          <t>categories</t>
        </is>
      </c>
      <c r="G213" s="54" t="inlineStr">
        <is>
          <t>type</t>
        </is>
      </c>
      <c r="H213" s="53" t="inlineStr">
        <is>
          <t>database</t>
        </is>
      </c>
      <c r="I213" s="55" t="inlineStr">
        <is>
          <t>comment</t>
        </is>
      </c>
      <c r="J213" s="10" t="n"/>
      <c r="K213" s="6" t="n"/>
      <c r="L213" s="11" t="n"/>
      <c r="M213" s="11" t="n"/>
      <c r="N213" s="11" t="n"/>
      <c r="O213" s="11" t="n"/>
      <c r="P213" s="11" t="n"/>
      <c r="Q213" s="11" t="n"/>
      <c r="R213" s="6" t="n"/>
      <c r="S213" s="6" t="n"/>
      <c r="T213" s="10" t="n"/>
      <c r="U213" s="6" t="n"/>
    </row>
    <row r="214" ht="15" customFormat="1" customHeight="1" s="8">
      <c r="A214" s="53" t="inlineStr">
        <is>
          <t>electrolyzer production, 1MWe, AEC, Stack</t>
        </is>
      </c>
      <c r="B214" s="56" t="n">
        <v>1</v>
      </c>
      <c r="C214" s="50" t="inlineStr">
        <is>
          <t>electrolyzer, 1MWe, AEC, Stack</t>
        </is>
      </c>
      <c r="D214" s="50" t="inlineStr">
        <is>
          <t>RER</t>
        </is>
      </c>
      <c r="E214" s="50" t="inlineStr">
        <is>
          <t>unit</t>
        </is>
      </c>
      <c r="F214" s="50" t="n"/>
      <c r="G214" s="50" t="inlineStr">
        <is>
          <t>production</t>
        </is>
      </c>
      <c r="H214" s="53" t="inlineStr">
        <is>
          <t>h2_electrolysis</t>
        </is>
      </c>
      <c r="I214" s="50" t="n"/>
      <c r="L214" s="9" t="n"/>
      <c r="M214" s="9" t="n"/>
      <c r="N214" s="9" t="n"/>
      <c r="O214" s="9" t="n"/>
      <c r="P214" s="9" t="n"/>
      <c r="Q214" s="9" t="n"/>
    </row>
    <row r="215" ht="15.6" customFormat="1" customHeight="1" s="8">
      <c r="A215" s="50" t="inlineStr">
        <is>
          <t>Tetrafluoroethylene, at plant</t>
        </is>
      </c>
      <c r="B215" s="56" t="n">
        <v>144.2</v>
      </c>
      <c r="C215" s="50" t="inlineStr">
        <is>
          <t>Tetrafluoroethylene, at plant</t>
        </is>
      </c>
      <c r="D215" s="50" t="inlineStr">
        <is>
          <t>RER</t>
        </is>
      </c>
      <c r="E215" s="50" t="inlineStr">
        <is>
          <t>kilogram</t>
        </is>
      </c>
      <c r="F215" s="50" t="n"/>
      <c r="G215" s="50" t="inlineStr">
        <is>
          <t>technosphere</t>
        </is>
      </c>
      <c r="H215" s="50" t="inlineStr">
        <is>
          <t>bafu</t>
        </is>
      </c>
      <c r="I215" s="50" t="inlineStr">
        <is>
          <t>gasket</t>
        </is>
      </c>
      <c r="L215" s="12" t="n"/>
      <c r="M215" s="12" t="n"/>
      <c r="N215" s="12" t="n"/>
      <c r="O215" s="12" t="n"/>
      <c r="P215" s="12" t="n"/>
      <c r="Q215" s="12" t="n"/>
    </row>
    <row r="216" ht="15.6" customFormat="1" customHeight="1" s="8">
      <c r="A216" s="50" t="inlineStr">
        <is>
          <t>Sheet rolling, chromium steel</t>
        </is>
      </c>
      <c r="B216" s="56" t="n">
        <v>20194.4</v>
      </c>
      <c r="C216" s="50" t="inlineStr">
        <is>
          <t>Sheet rolling, chromium steel</t>
        </is>
      </c>
      <c r="D216" s="50" t="inlineStr">
        <is>
          <t>RER</t>
        </is>
      </c>
      <c r="E216" s="50" t="inlineStr">
        <is>
          <t>kilogram</t>
        </is>
      </c>
      <c r="F216" s="50" t="n"/>
      <c r="G216" s="50" t="inlineStr">
        <is>
          <t>technosphere</t>
        </is>
      </c>
      <c r="H216" s="50" t="inlineStr">
        <is>
          <t>bafu</t>
        </is>
      </c>
      <c r="I216" s="50" t="inlineStr">
        <is>
          <t>anode and cathode with frame</t>
        </is>
      </c>
      <c r="L216" s="12" t="n"/>
      <c r="M216" s="12" t="n"/>
      <c r="N216" s="12" t="n"/>
      <c r="O216" s="12" t="n"/>
      <c r="P216" s="12" t="n"/>
      <c r="Q216" s="12" t="n"/>
    </row>
    <row r="217" ht="15.6" customFormat="1" customHeight="1" s="8">
      <c r="A217" s="50" t="inlineStr">
        <is>
          <t>Chromium steel 18/8, at plant</t>
        </is>
      </c>
      <c r="B217" s="56" t="n">
        <v>20194.4</v>
      </c>
      <c r="C217" s="50" t="inlineStr">
        <is>
          <t>Chromium steel 18/8, at plant</t>
        </is>
      </c>
      <c r="D217" s="50" t="inlineStr">
        <is>
          <t>RER</t>
        </is>
      </c>
      <c r="E217" s="50" t="inlineStr">
        <is>
          <t>kilogram</t>
        </is>
      </c>
      <c r="F217" s="50" t="n"/>
      <c r="G217" s="50" t="inlineStr">
        <is>
          <t>technosphere</t>
        </is>
      </c>
      <c r="H217" s="50" t="inlineStr">
        <is>
          <t>bafu</t>
        </is>
      </c>
      <c r="I217" s="50" t="inlineStr">
        <is>
          <t>anode and cathode with frame</t>
        </is>
      </c>
      <c r="L217" s="12" t="n"/>
      <c r="M217" s="12" t="n"/>
      <c r="N217" s="12" t="n"/>
      <c r="O217" s="12" t="n"/>
      <c r="P217" s="12" t="n"/>
      <c r="Q217" s="12" t="n"/>
    </row>
    <row r="218" ht="15.6" customFormat="1" customHeight="1" s="8">
      <c r="A218" s="50" t="inlineStr">
        <is>
          <t>Nickel, 99.5%, at plant</t>
        </is>
      </c>
      <c r="B218" s="56" t="n">
        <v>2884.9</v>
      </c>
      <c r="C218" s="50" t="inlineStr">
        <is>
          <t>Nickel, 99.5%, at plant</t>
        </is>
      </c>
      <c r="D218" s="50" t="inlineStr">
        <is>
          <t>GLO</t>
        </is>
      </c>
      <c r="E218" s="50" t="inlineStr">
        <is>
          <t>kilogram</t>
        </is>
      </c>
      <c r="F218" s="50" t="n"/>
      <c r="G218" s="50" t="inlineStr">
        <is>
          <t>technosphere</t>
        </is>
      </c>
      <c r="H218" s="50" t="inlineStr">
        <is>
          <t>bafu</t>
        </is>
      </c>
      <c r="I218" s="50" t="inlineStr">
        <is>
          <t>anode and cathode with frame</t>
        </is>
      </c>
      <c r="L218" s="12" t="n"/>
      <c r="M218" s="12" t="n"/>
      <c r="N218" s="12" t="n"/>
      <c r="O218" s="12" t="n"/>
      <c r="P218" s="12" t="n"/>
      <c r="Q218" s="12" t="n"/>
    </row>
    <row r="219" ht="15.6" customFormat="1" customHeight="1" s="8">
      <c r="A219" s="50" t="inlineStr">
        <is>
          <t>Polyphenylene sulfide, at plant</t>
        </is>
      </c>
      <c r="B219" s="56" t="n">
        <v>48.8</v>
      </c>
      <c r="C219" s="51" t="inlineStr">
        <is>
          <t>Polyphenylene sulfide, at plant</t>
        </is>
      </c>
      <c r="D219" s="50" t="inlineStr">
        <is>
          <t>GLO</t>
        </is>
      </c>
      <c r="E219" s="50" t="inlineStr">
        <is>
          <t>kilogram</t>
        </is>
      </c>
      <c r="F219" s="51" t="n"/>
      <c r="G219" s="50" t="inlineStr">
        <is>
          <t>technosphere</t>
        </is>
      </c>
      <c r="H219" s="50" t="inlineStr">
        <is>
          <t>bafu</t>
        </is>
      </c>
      <c r="I219" s="50" t="inlineStr">
        <is>
          <t>diaphragm, zirfon</t>
        </is>
      </c>
      <c r="L219" s="12" t="n"/>
      <c r="M219" s="12" t="n"/>
      <c r="N219" s="12" t="n"/>
      <c r="O219" s="12" t="n"/>
      <c r="P219" s="12" t="n"/>
      <c r="Q219" s="12" t="n"/>
    </row>
    <row r="220" ht="15.6" customFormat="1" customHeight="1" s="8">
      <c r="A220" s="50" t="inlineStr">
        <is>
          <t>Zirconium oxide, at plant</t>
        </is>
      </c>
      <c r="B220" s="56" t="n">
        <v>73</v>
      </c>
      <c r="C220" s="51" t="inlineStr">
        <is>
          <t>Zirconium oxide, at plant</t>
        </is>
      </c>
      <c r="D220" s="50" t="inlineStr">
        <is>
          <t>AU</t>
        </is>
      </c>
      <c r="E220" s="50" t="inlineStr">
        <is>
          <t>kilogram</t>
        </is>
      </c>
      <c r="F220" s="51" t="n"/>
      <c r="G220" s="50" t="inlineStr">
        <is>
          <t>technosphere</t>
        </is>
      </c>
      <c r="H220" s="50" t="inlineStr">
        <is>
          <t>bafu</t>
        </is>
      </c>
      <c r="I220" s="50" t="inlineStr">
        <is>
          <t>diaphragm, zirfon</t>
        </is>
      </c>
      <c r="L220" s="12" t="n"/>
      <c r="M220" s="12" t="n"/>
      <c r="N220" s="12" t="n"/>
      <c r="O220" s="12" t="n"/>
      <c r="P220" s="12" t="n"/>
      <c r="Q220" s="12" t="n"/>
    </row>
    <row r="221" ht="15.6" customFormat="1" customHeight="1" s="8">
      <c r="A221" s="50" t="inlineStr">
        <is>
          <t>Electricity, low voltage, at grid</t>
        </is>
      </c>
      <c r="B221" s="56" t="n">
        <v>95553.31568</v>
      </c>
      <c r="C221" s="51" t="inlineStr">
        <is>
          <t>Electricity, low voltage, at grid</t>
        </is>
      </c>
      <c r="D221" s="50" t="inlineStr">
        <is>
          <t>GLO</t>
        </is>
      </c>
      <c r="E221" s="50" t="inlineStr">
        <is>
          <t>kilowatt hour</t>
        </is>
      </c>
      <c r="F221" s="51" t="n"/>
      <c r="G221" s="50" t="inlineStr">
        <is>
          <t>technosphere</t>
        </is>
      </c>
      <c r="H221" s="50" t="inlineStr">
        <is>
          <t>bafu</t>
        </is>
      </c>
      <c r="I221" s="50" t="inlineStr">
        <is>
          <t>assembly energy</t>
        </is>
      </c>
      <c r="L221" s="12" t="n"/>
      <c r="M221" s="12" t="n"/>
      <c r="N221" s="12" t="n"/>
      <c r="O221" s="12" t="n"/>
      <c r="P221" s="12" t="n"/>
      <c r="Q221" s="12" t="n"/>
    </row>
    <row r="222" ht="15" customFormat="1" customHeight="1" s="8">
      <c r="B222" s="9" t="n"/>
      <c r="C222" s="7" t="n"/>
      <c r="G222" s="7" t="n"/>
      <c r="H222" s="7" t="n"/>
      <c r="L222" s="9" t="n"/>
      <c r="M222" s="9" t="n"/>
      <c r="N222" s="9" t="n"/>
      <c r="O222" s="9" t="n"/>
      <c r="P222" s="9" t="n"/>
      <c r="Q222" s="9" t="n"/>
    </row>
    <row r="223" ht="15.6" customFormat="1" customHeight="1" s="8">
      <c r="A223" s="49" t="inlineStr">
        <is>
          <t>Activity</t>
        </is>
      </c>
      <c r="B223" s="84" t="inlineStr">
        <is>
          <t>treatment of fuel cell stack, 1MWe, AEC</t>
        </is>
      </c>
      <c r="C223" s="50" t="n"/>
      <c r="D223" s="50" t="n"/>
      <c r="E223" s="50" t="n"/>
      <c r="F223" s="50" t="n"/>
      <c r="G223" s="50" t="n"/>
      <c r="H223" s="50" t="n"/>
      <c r="I223" s="50" t="n"/>
      <c r="L223" s="9" t="n"/>
      <c r="M223" s="9" t="n"/>
      <c r="N223" s="9" t="n"/>
      <c r="O223" s="9" t="n"/>
      <c r="P223" s="9" t="n"/>
      <c r="Q223" s="9" t="n"/>
    </row>
    <row r="224" ht="15" customFormat="1" customHeight="1" s="8">
      <c r="A224" s="52" t="inlineStr">
        <is>
          <t>production amount</t>
        </is>
      </c>
      <c r="B224" s="85" t="n">
        <v>1</v>
      </c>
      <c r="C224" s="50" t="n"/>
      <c r="D224" s="50" t="n"/>
      <c r="E224" s="50" t="n"/>
      <c r="F224" s="50" t="n"/>
      <c r="G224" s="50" t="n"/>
      <c r="H224" s="50" t="n"/>
      <c r="I224" s="50" t="n"/>
      <c r="L224" s="9" t="n"/>
      <c r="M224" s="9" t="n"/>
      <c r="N224" s="9" t="n"/>
      <c r="O224" s="9" t="n"/>
      <c r="P224" s="9" t="n"/>
      <c r="Q224" s="9" t="n"/>
    </row>
    <row r="225" ht="15" customFormat="1" customHeight="1" s="8">
      <c r="A225" s="52" t="inlineStr">
        <is>
          <t>comment</t>
        </is>
      </c>
      <c r="B225" s="85" t="inlineStr">
        <is>
          <t>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 Values have already been multiplied by 3 to reflect 2 stack replacements over 20 years of use.</t>
        </is>
      </c>
      <c r="C225" s="50" t="n"/>
      <c r="D225" s="50" t="n"/>
      <c r="E225" s="50" t="n"/>
      <c r="F225" s="50" t="n"/>
      <c r="G225" s="50" t="n"/>
      <c r="H225" s="50" t="n"/>
      <c r="I225" s="50" t="n"/>
      <c r="L225" s="9" t="n"/>
      <c r="M225" s="9" t="n"/>
      <c r="N225" s="9" t="n"/>
      <c r="O225" s="9" t="n"/>
      <c r="P225" s="9" t="n"/>
      <c r="Q225" s="9" t="n"/>
    </row>
    <row r="226" ht="15" customFormat="1" customHeight="1" s="8">
      <c r="A226" s="52" t="inlineStr">
        <is>
          <t>reference product</t>
        </is>
      </c>
      <c r="B226" s="56" t="inlineStr">
        <is>
          <t>used fuel cell stack, 1MWe, AEC</t>
        </is>
      </c>
      <c r="C226" s="50" t="n"/>
      <c r="D226" s="50" t="n"/>
      <c r="E226" s="50" t="n"/>
      <c r="F226" s="50" t="n"/>
      <c r="G226" s="50" t="n"/>
      <c r="H226" s="50" t="n"/>
      <c r="I226" s="50" t="n"/>
      <c r="L226" s="9" t="n"/>
      <c r="M226" s="9" t="n"/>
      <c r="N226" s="9" t="n"/>
      <c r="O226" s="9" t="n"/>
      <c r="P226" s="9" t="n"/>
      <c r="Q226" s="9" t="n"/>
    </row>
    <row r="227" ht="15" customFormat="1" customHeight="1" s="8">
      <c r="A227" s="52" t="inlineStr">
        <is>
          <t>location</t>
        </is>
      </c>
      <c r="B227" s="85" t="inlineStr">
        <is>
          <t>RER</t>
        </is>
      </c>
      <c r="C227" s="50" t="n"/>
      <c r="D227" s="50" t="n"/>
      <c r="E227" s="50" t="n"/>
      <c r="F227" s="50" t="n"/>
      <c r="G227" s="50" t="n"/>
      <c r="H227" s="50" t="n"/>
      <c r="I227" s="50" t="n"/>
      <c r="L227" s="9" t="n"/>
      <c r="M227" s="9" t="n"/>
      <c r="N227" s="9" t="n"/>
      <c r="O227" s="9" t="n"/>
      <c r="P227" s="9" t="n"/>
      <c r="Q227" s="9" t="n"/>
    </row>
    <row r="228" ht="15" customFormat="1" customHeight="1" s="8">
      <c r="A228" s="52" t="inlineStr">
        <is>
          <t>unit</t>
        </is>
      </c>
      <c r="B228" s="56" t="inlineStr">
        <is>
          <t>unit</t>
        </is>
      </c>
      <c r="C228" s="50" t="n"/>
      <c r="D228" s="50" t="n"/>
      <c r="E228" s="50" t="n"/>
      <c r="F228" s="50" t="n"/>
      <c r="G228" s="50" t="n"/>
      <c r="H228" s="50" t="n"/>
      <c r="I228" s="50" t="n"/>
      <c r="L228" s="9" t="n"/>
      <c r="M228" s="9" t="n"/>
      <c r="N228" s="9" t="n"/>
      <c r="O228" s="9" t="n"/>
      <c r="P228" s="9" t="n"/>
      <c r="Q228" s="9" t="n"/>
    </row>
    <row r="229" ht="15.6" customFormat="1" customHeight="1" s="8">
      <c r="A229" s="54" t="inlineStr">
        <is>
          <t>Exchanges</t>
        </is>
      </c>
      <c r="B229" s="84" t="n"/>
      <c r="C229" s="54" t="n"/>
      <c r="D229" s="54" t="n"/>
      <c r="E229" s="54" t="n"/>
      <c r="F229" s="54" t="n"/>
      <c r="G229" s="54" t="n"/>
      <c r="H229" s="54" t="n"/>
      <c r="I229" s="54" t="n"/>
      <c r="J229" s="10" t="n"/>
      <c r="K229" s="10" t="n"/>
      <c r="L229" s="9" t="n"/>
      <c r="M229" s="9" t="n"/>
      <c r="N229" s="9" t="n"/>
      <c r="O229" s="9" t="n"/>
      <c r="P229" s="9" t="n"/>
      <c r="Q229" s="9" t="n"/>
    </row>
    <row r="230" ht="15.6" customFormat="1" customHeight="1" s="8">
      <c r="A230" s="54" t="inlineStr">
        <is>
          <t>name</t>
        </is>
      </c>
      <c r="B230" s="84" t="inlineStr">
        <is>
          <t>amount</t>
        </is>
      </c>
      <c r="C230" s="54" t="inlineStr">
        <is>
          <t>reference product</t>
        </is>
      </c>
      <c r="D230" s="54" t="inlineStr">
        <is>
          <t>location</t>
        </is>
      </c>
      <c r="E230" s="54" t="inlineStr">
        <is>
          <t>unit</t>
        </is>
      </c>
      <c r="F230" s="55" t="inlineStr">
        <is>
          <t>categories</t>
        </is>
      </c>
      <c r="G230" s="54" t="inlineStr">
        <is>
          <t>type</t>
        </is>
      </c>
      <c r="H230" s="53" t="inlineStr">
        <is>
          <t>database</t>
        </is>
      </c>
      <c r="I230" s="55" t="inlineStr">
        <is>
          <t>comment</t>
        </is>
      </c>
      <c r="J230" s="10" t="n"/>
      <c r="K230" s="6" t="n"/>
      <c r="L230" s="11" t="n"/>
      <c r="M230" s="11" t="n"/>
      <c r="N230" s="11" t="n"/>
      <c r="O230" s="11" t="n"/>
      <c r="P230" s="11" t="n"/>
      <c r="Q230" s="11" t="n"/>
      <c r="R230" s="6" t="n"/>
      <c r="S230" s="6" t="n"/>
      <c r="T230" s="10" t="n"/>
      <c r="U230" s="6" t="n"/>
    </row>
    <row r="231" ht="15" customFormat="1" customHeight="1" s="8">
      <c r="A231" s="53" t="inlineStr">
        <is>
          <t>treatment of fuel cell stack, 1MWe, AEC</t>
        </is>
      </c>
      <c r="B231" s="56" t="n">
        <v>-1</v>
      </c>
      <c r="C231" s="50" t="inlineStr">
        <is>
          <t>used fuel cell stack, 1MWe, AEC</t>
        </is>
      </c>
      <c r="D231" s="50" t="inlineStr">
        <is>
          <t>RER</t>
        </is>
      </c>
      <c r="E231" s="50" t="inlineStr">
        <is>
          <t>unit</t>
        </is>
      </c>
      <c r="F231" s="50" t="n"/>
      <c r="G231" s="50" t="inlineStr">
        <is>
          <t>production</t>
        </is>
      </c>
      <c r="H231" s="53" t="inlineStr">
        <is>
          <t>h2_electrolysis</t>
        </is>
      </c>
      <c r="I231" s="50" t="n"/>
      <c r="L231" s="9" t="n"/>
      <c r="M231" s="9" t="n"/>
      <c r="N231" s="9" t="n"/>
      <c r="O231" s="9" t="n"/>
      <c r="P231" s="9" t="n"/>
      <c r="Q231" s="9" t="n"/>
    </row>
    <row r="232" ht="15.6" customFormat="1" customHeight="1" s="8">
      <c r="A232" s="53" t="inlineStr">
        <is>
          <t>Iron scrap, at plant</t>
        </is>
      </c>
      <c r="B232" s="56" t="n">
        <v>-60583</v>
      </c>
      <c r="C232" s="50" t="inlineStr">
        <is>
          <t>Iron scrap, at plant</t>
        </is>
      </c>
      <c r="D232" s="50" t="inlineStr">
        <is>
          <t>RER</t>
        </is>
      </c>
      <c r="E232" s="50" t="inlineStr">
        <is>
          <t>kilogram</t>
        </is>
      </c>
      <c r="F232" s="50" t="n"/>
      <c r="G232" s="50" t="inlineStr">
        <is>
          <t>technosphere</t>
        </is>
      </c>
      <c r="H232" s="50" t="inlineStr">
        <is>
          <t>bafu</t>
        </is>
      </c>
      <c r="I232" s="50" t="n"/>
      <c r="L232" s="12" t="n"/>
      <c r="M232" s="12" t="n"/>
      <c r="N232" s="12" t="n"/>
      <c r="O232" s="12" t="n"/>
      <c r="P232" s="12" t="n"/>
      <c r="Q232" s="12" t="n"/>
    </row>
    <row r="233" ht="15.6" customFormat="1" customHeight="1" s="8">
      <c r="A233" s="50" t="inlineStr">
        <is>
          <t>Disposal, plastics, mixture, 15.3% water, to municipal incineration</t>
        </is>
      </c>
      <c r="B233" s="56" t="n">
        <v>-579</v>
      </c>
      <c r="C233" s="50" t="inlineStr">
        <is>
          <t>Disposal, plastics, mixture, 15.3% water, to municipal incineration</t>
        </is>
      </c>
      <c r="D233" s="50" t="inlineStr">
        <is>
          <t>CH</t>
        </is>
      </c>
      <c r="E233" s="50" t="inlineStr">
        <is>
          <t>kilogram</t>
        </is>
      </c>
      <c r="F233" s="50" t="n"/>
      <c r="G233" s="50" t="inlineStr">
        <is>
          <t>technosphere</t>
        </is>
      </c>
      <c r="H233" s="50" t="inlineStr">
        <is>
          <t>bafu</t>
        </is>
      </c>
      <c r="I233" s="50" t="n"/>
      <c r="L233" s="12" t="n"/>
      <c r="M233" s="12" t="n"/>
      <c r="N233" s="12" t="n"/>
      <c r="O233" s="12" t="n"/>
      <c r="P233" s="12" t="n"/>
      <c r="Q233" s="12" t="n"/>
    </row>
    <row r="234" ht="15" customFormat="1" customHeight="1" s="8">
      <c r="B234" s="9" t="n"/>
      <c r="L234" s="9" t="n"/>
      <c r="M234" s="9" t="n"/>
      <c r="N234" s="9" t="n"/>
      <c r="O234" s="9" t="n"/>
      <c r="P234" s="9" t="n"/>
      <c r="Q234" s="9" t="n"/>
    </row>
    <row r="235" ht="15.6" customFormat="1" customHeight="1" s="8">
      <c r="A235" s="49" t="inlineStr">
        <is>
          <t>Activity</t>
        </is>
      </c>
      <c r="B235" s="84" t="inlineStr">
        <is>
          <t>electrolyzer production, 1MWe, AEC, Balance of Plant</t>
        </is>
      </c>
      <c r="C235" s="50" t="n"/>
      <c r="D235" s="50" t="n"/>
      <c r="E235" s="50" t="n"/>
      <c r="F235" s="50" t="n"/>
      <c r="G235" s="50" t="n"/>
      <c r="H235" s="50" t="n"/>
      <c r="I235" s="50" t="n"/>
      <c r="L235" s="13" t="n"/>
      <c r="M235" s="14" t="n"/>
      <c r="N235" s="9" t="n"/>
      <c r="O235" s="9" t="n"/>
      <c r="P235" s="9" t="n"/>
      <c r="Q235" s="9" t="n"/>
    </row>
    <row r="236" ht="15" customFormat="1" customHeight="1" s="8">
      <c r="A236" s="52" t="inlineStr">
        <is>
          <t>production amount</t>
        </is>
      </c>
      <c r="B236" s="85" t="n">
        <v>1</v>
      </c>
      <c r="C236" s="50" t="n"/>
      <c r="D236" s="50" t="n"/>
      <c r="E236" s="50" t="n"/>
      <c r="F236" s="50" t="n"/>
      <c r="G236" s="50" t="n"/>
      <c r="H236" s="50" t="n"/>
      <c r="I236" s="50" t="n"/>
      <c r="L236" s="15" t="n"/>
      <c r="M236" s="14" t="n"/>
      <c r="N236" s="9" t="n"/>
      <c r="O236" s="9" t="n"/>
      <c r="P236" s="9" t="n"/>
      <c r="Q236" s="9" t="n"/>
    </row>
    <row r="237" ht="15" customFormat="1" customHeight="1" s="8">
      <c r="A237" s="52" t="inlineStr">
        <is>
          <t>comment</t>
        </is>
      </c>
      <c r="B237" s="85" t="inlineStr">
        <is>
          <t>1 MWe Alkaline electrolyzer based on Niklas Gerloff, Comparative Life-Cycle-Assessment analysis of three major water electrolysis technologies while applying various energy scenarios for a greener hydrogen production, Journal of Energy Storage, Volume 43, 2021, https://doi.org/10.1016/j.est.2021.102759. Single stack lifetime of 7-8 years @ 8000 hours/year, hence 3 replacements over 20 years. Produced amount of H2 over 20 years: 3085961.12 kg. The technology is available for large plant sizes and operates with a stack efficiency of up to 67 % (based on the lower heating value (LHV) of the generated H2). The operating temperature is in between 60–80 °C, and the current density is around 0.2–0.4 A/cm2. Moreover, the system energy –including the stack and periphery energy– is in the range of 4.4–6.6 kWh/m3H2, while the gas purity is higher than 99.5%, and the operating pressure is below 30 bar. While the LCI data of the BoP components either originate from Zhang et al., based on a 300-kW system and, therefore, scaled-up to 1 MW by a factor of 0.7, the LCI data of the other BoP components originate from manufacturer offers or have been estimated by own calculations using additional information by the producers.</t>
        </is>
      </c>
      <c r="C237" s="50" t="n"/>
      <c r="D237" s="50" t="n"/>
      <c r="E237" s="50" t="n"/>
      <c r="F237" s="50" t="n"/>
      <c r="G237" s="50" t="n"/>
      <c r="H237" s="50" t="n"/>
      <c r="I237" s="50" t="n"/>
      <c r="L237" s="9" t="n"/>
      <c r="M237" s="14" t="n"/>
      <c r="N237" s="9" t="n"/>
      <c r="O237" s="9" t="n"/>
      <c r="P237" s="9" t="n"/>
      <c r="Q237" s="9" t="n"/>
    </row>
    <row r="238" ht="15" customFormat="1" customHeight="1" s="8">
      <c r="A238" s="52" t="inlineStr">
        <is>
          <t>reference product</t>
        </is>
      </c>
      <c r="B238" s="56" t="inlineStr">
        <is>
          <t>electrolyzer, 1MWe, AEC, Balance of Plant</t>
        </is>
      </c>
      <c r="C238" s="50" t="n"/>
      <c r="D238" s="50" t="n"/>
      <c r="E238" s="50" t="n"/>
      <c r="F238" s="50" t="n"/>
      <c r="G238" s="50" t="n"/>
      <c r="H238" s="50" t="n"/>
      <c r="I238" s="50" t="n"/>
      <c r="L238" s="9" t="n"/>
      <c r="M238" s="9" t="n"/>
      <c r="N238" s="9" t="n"/>
      <c r="O238" s="9" t="n"/>
      <c r="P238" s="9" t="n"/>
      <c r="Q238" s="9" t="n"/>
    </row>
    <row r="239" ht="16.35" customFormat="1" customHeight="1" s="8">
      <c r="A239" s="52" t="inlineStr">
        <is>
          <t>location</t>
        </is>
      </c>
      <c r="B239" s="85" t="inlineStr">
        <is>
          <t>RER</t>
        </is>
      </c>
      <c r="C239" s="50" t="n"/>
      <c r="D239" s="50" t="n"/>
      <c r="E239" s="50" t="n"/>
      <c r="F239" s="50" t="n"/>
      <c r="G239" s="50" t="n"/>
      <c r="H239" s="50" t="n"/>
      <c r="I239" s="50" t="n"/>
      <c r="L239" s="9" t="n"/>
      <c r="M239" s="9" t="n"/>
      <c r="N239" s="9" t="n"/>
      <c r="O239" s="9" t="n"/>
      <c r="P239" s="9" t="n"/>
      <c r="Q239" s="9" t="n"/>
    </row>
    <row r="240" ht="15.6" customFormat="1" customHeight="1" s="8">
      <c r="A240" s="52" t="inlineStr">
        <is>
          <t>unit</t>
        </is>
      </c>
      <c r="B240" s="56" t="inlineStr">
        <is>
          <t>unit</t>
        </is>
      </c>
      <c r="C240" s="50" t="n"/>
      <c r="D240" s="50" t="n"/>
      <c r="E240" s="50" t="n"/>
      <c r="F240" s="50" t="n"/>
      <c r="G240" s="50" t="n"/>
      <c r="H240" s="50" t="n"/>
      <c r="I240" s="54" t="n"/>
      <c r="J240" s="10" t="n"/>
      <c r="L240" s="9" t="n"/>
      <c r="M240" s="9" t="n"/>
      <c r="N240" s="9" t="n"/>
      <c r="O240" s="9" t="n"/>
      <c r="P240" s="9" t="n"/>
      <c r="Q240" s="9" t="n"/>
    </row>
    <row r="241" ht="15.6" customFormat="1" customHeight="1" s="8">
      <c r="A241" s="54" t="inlineStr">
        <is>
          <t>Exchanges</t>
        </is>
      </c>
      <c r="B241" s="84" t="n"/>
      <c r="C241" s="54" t="n"/>
      <c r="D241" s="54" t="n"/>
      <c r="E241" s="54" t="n"/>
      <c r="F241" s="54" t="n"/>
      <c r="G241" s="54" t="n"/>
      <c r="H241" s="54" t="n"/>
      <c r="I241" s="51" t="n"/>
      <c r="J241" s="7" t="n"/>
      <c r="L241" s="9" t="n"/>
      <c r="M241" s="9" t="n"/>
      <c r="N241" s="9" t="n"/>
      <c r="O241" s="9" t="n"/>
      <c r="P241" s="9" t="n"/>
      <c r="Q241" s="9" t="n"/>
    </row>
    <row r="242" ht="15.6" customFormat="1" customHeight="1" s="8">
      <c r="A242" s="54" t="inlineStr">
        <is>
          <t>name</t>
        </is>
      </c>
      <c r="B242" s="84" t="inlineStr">
        <is>
          <t>amount</t>
        </is>
      </c>
      <c r="C242" s="54" t="inlineStr">
        <is>
          <t>reference product</t>
        </is>
      </c>
      <c r="D242" s="54" t="inlineStr">
        <is>
          <t>location</t>
        </is>
      </c>
      <c r="E242" s="54" t="inlineStr">
        <is>
          <t>unit</t>
        </is>
      </c>
      <c r="F242" s="55" t="inlineStr">
        <is>
          <t>categories</t>
        </is>
      </c>
      <c r="G242" s="54" t="inlineStr">
        <is>
          <t>type</t>
        </is>
      </c>
      <c r="H242" s="53" t="inlineStr">
        <is>
          <t>database</t>
        </is>
      </c>
      <c r="I242" s="55" t="inlineStr">
        <is>
          <t>comment</t>
        </is>
      </c>
      <c r="J242" s="10" t="n"/>
      <c r="K242" s="6" t="n"/>
      <c r="L242" s="11" t="n"/>
      <c r="M242" s="11" t="n"/>
      <c r="N242" s="11" t="n"/>
      <c r="O242" s="11" t="n"/>
      <c r="P242" s="11" t="n"/>
      <c r="Q242" s="11" t="n"/>
      <c r="R242" s="6" t="n"/>
      <c r="S242" s="6" t="n"/>
      <c r="T242" s="10" t="n"/>
      <c r="U242" s="6" t="n"/>
    </row>
    <row r="243" ht="15" customFormat="1" customHeight="1" s="8">
      <c r="A243" s="53" t="inlineStr">
        <is>
          <t>electrolyzer production, 1MWe, AEC, Balance of Plant</t>
        </is>
      </c>
      <c r="B243" s="56" t="n">
        <v>1</v>
      </c>
      <c r="C243" s="50" t="inlineStr">
        <is>
          <t>electrolyzer, 1MWe, AEC, Balance of Plant</t>
        </is>
      </c>
      <c r="D243" s="50" t="inlineStr">
        <is>
          <t>RER</t>
        </is>
      </c>
      <c r="E243" s="50" t="inlineStr">
        <is>
          <t>unit</t>
        </is>
      </c>
      <c r="F243" s="50" t="n"/>
      <c r="G243" s="50" t="inlineStr">
        <is>
          <t>production</t>
        </is>
      </c>
      <c r="H243" s="53" t="inlineStr">
        <is>
          <t>h2_electrolysis</t>
        </is>
      </c>
      <c r="I243" s="51" t="n"/>
      <c r="J243" s="7" t="n"/>
      <c r="K243" s="7" t="n"/>
      <c r="L243" s="9" t="n"/>
      <c r="M243" s="9" t="n"/>
      <c r="N243" s="9" t="n"/>
      <c r="O243" s="9" t="n"/>
      <c r="P243" s="9" t="n"/>
      <c r="Q243" s="9" t="n"/>
    </row>
    <row r="244" ht="15.6" customFormat="1" customHeight="1" s="8">
      <c r="A244" s="50" t="inlineStr">
        <is>
          <t>Aluminium, production mix, wrought alloy, at plant</t>
        </is>
      </c>
      <c r="B244" s="56" t="n">
        <v>100</v>
      </c>
      <c r="C244" s="50" t="inlineStr">
        <is>
          <t>Aluminium, production mix, wrought alloy, at plant</t>
        </is>
      </c>
      <c r="D244" s="50" t="inlineStr">
        <is>
          <t>RER</t>
        </is>
      </c>
      <c r="E244" s="50" t="inlineStr">
        <is>
          <t>kilogram</t>
        </is>
      </c>
      <c r="F244" s="50" t="n"/>
      <c r="G244" s="50" t="inlineStr">
        <is>
          <t>technosphere</t>
        </is>
      </c>
      <c r="H244" s="50" t="inlineStr">
        <is>
          <t>bafu</t>
        </is>
      </c>
      <c r="I244" s="61" t="inlineStr">
        <is>
          <t>power electronics (rectifier, voltage adaption)</t>
        </is>
      </c>
      <c r="L244" s="12" t="n"/>
      <c r="M244" s="12" t="n"/>
      <c r="N244" s="12" t="n"/>
      <c r="O244" s="12" t="n"/>
      <c r="P244" s="12" t="n"/>
      <c r="Q244" s="12" t="n"/>
    </row>
    <row r="245" ht="15.6" customFormat="1" customHeight="1" s="8">
      <c r="A245" s="50" t="inlineStr">
        <is>
          <t>Copper, primary, at refinery</t>
        </is>
      </c>
      <c r="B245" s="56" t="n">
        <v>200</v>
      </c>
      <c r="C245" s="50" t="inlineStr">
        <is>
          <t>Copper, primary, at refinery</t>
        </is>
      </c>
      <c r="D245" s="50" t="inlineStr">
        <is>
          <t>GLO</t>
        </is>
      </c>
      <c r="E245" s="50" t="inlineStr">
        <is>
          <t>kilogram</t>
        </is>
      </c>
      <c r="F245" s="50" t="n"/>
      <c r="G245" s="50" t="inlineStr">
        <is>
          <t>technosphere</t>
        </is>
      </c>
      <c r="H245" s="50" t="inlineStr">
        <is>
          <t>bafu</t>
        </is>
      </c>
      <c r="I245" s="61" t="inlineStr">
        <is>
          <t>power electronics (rectifier, voltage adaption)</t>
        </is>
      </c>
      <c r="L245" s="12" t="n"/>
      <c r="M245" s="12" t="n"/>
      <c r="N245" s="12" t="n"/>
      <c r="O245" s="12" t="n"/>
      <c r="P245" s="12" t="n"/>
      <c r="Q245" s="12" t="n"/>
    </row>
    <row r="246" ht="15.6" customFormat="1" customHeight="1" s="8">
      <c r="A246" s="50" t="inlineStr">
        <is>
          <t>Reinforcing steel, at plant</t>
        </is>
      </c>
      <c r="B246" s="56" t="n">
        <v>600</v>
      </c>
      <c r="C246" s="50" t="inlineStr">
        <is>
          <t>Reinforcing steel, at plant</t>
        </is>
      </c>
      <c r="D246" s="50" t="inlineStr">
        <is>
          <t>RER</t>
        </is>
      </c>
      <c r="E246" s="50" t="inlineStr">
        <is>
          <t>kilogram</t>
        </is>
      </c>
      <c r="F246" s="50" t="n"/>
      <c r="G246" s="50" t="inlineStr">
        <is>
          <t>technosphere</t>
        </is>
      </c>
      <c r="H246" s="50" t="inlineStr">
        <is>
          <t>bafu</t>
        </is>
      </c>
      <c r="I246" s="61" t="inlineStr">
        <is>
          <t>power electronics (rectifier, voltage adaption)</t>
        </is>
      </c>
      <c r="L246" s="12" t="n"/>
      <c r="M246" s="12" t="n"/>
      <c r="N246" s="12" t="n"/>
      <c r="O246" s="12" t="n"/>
      <c r="P246" s="12" t="n"/>
      <c r="Q246" s="12" t="n"/>
    </row>
    <row r="247" ht="15.6" customFormat="1" customHeight="1" s="8">
      <c r="A247" s="50" t="inlineStr">
        <is>
          <t>Sheet rolling, aluminium</t>
        </is>
      </c>
      <c r="B247" s="56" t="n">
        <v>100</v>
      </c>
      <c r="C247" s="50" t="inlineStr">
        <is>
          <t>Sheet rolling, aluminium</t>
        </is>
      </c>
      <c r="D247" s="50" t="inlineStr">
        <is>
          <t>RER</t>
        </is>
      </c>
      <c r="E247" s="50" t="inlineStr">
        <is>
          <t>kilogram</t>
        </is>
      </c>
      <c r="F247" s="50" t="n"/>
      <c r="G247" s="50" t="inlineStr">
        <is>
          <t>technosphere</t>
        </is>
      </c>
      <c r="H247" s="50" t="inlineStr">
        <is>
          <t>bafu</t>
        </is>
      </c>
      <c r="I247" s="61" t="inlineStr">
        <is>
          <t>power electronics (rectifier, voltage adaption)</t>
        </is>
      </c>
      <c r="L247" s="12" t="n"/>
      <c r="M247" s="12" t="n"/>
      <c r="N247" s="12" t="n"/>
      <c r="O247" s="12" t="n"/>
      <c r="P247" s="12" t="n"/>
      <c r="Q247" s="12" t="n"/>
    </row>
    <row r="248" ht="15.6" customFormat="1" customHeight="1" s="8">
      <c r="A248" s="50" t="inlineStr">
        <is>
          <t>Sheet rolling, steel</t>
        </is>
      </c>
      <c r="B248" s="56" t="n">
        <v>600</v>
      </c>
      <c r="C248" s="50" t="inlineStr">
        <is>
          <t>Sheet rolling, steel</t>
        </is>
      </c>
      <c r="D248" s="50" t="inlineStr">
        <is>
          <t>RER</t>
        </is>
      </c>
      <c r="E248" s="50" t="inlineStr">
        <is>
          <t>kilogram</t>
        </is>
      </c>
      <c r="F248" s="50" t="n"/>
      <c r="G248" s="50" t="inlineStr">
        <is>
          <t>technosphere</t>
        </is>
      </c>
      <c r="H248" s="50" t="inlineStr">
        <is>
          <t>bafu</t>
        </is>
      </c>
      <c r="I248" s="61" t="inlineStr">
        <is>
          <t>power electronics (rectifier, voltage adaption)</t>
        </is>
      </c>
      <c r="L248" s="12" t="n"/>
      <c r="M248" s="12" t="n"/>
      <c r="N248" s="12" t="n"/>
      <c r="O248" s="12" t="n"/>
      <c r="P248" s="12" t="n"/>
      <c r="Q248" s="12" t="n"/>
    </row>
    <row r="249" ht="15.6" customFormat="1" customHeight="1" s="8">
      <c r="A249" s="50" t="inlineStr">
        <is>
          <t>Tube insulation, elastomere, at plant</t>
        </is>
      </c>
      <c r="B249" s="56" t="n">
        <v>100</v>
      </c>
      <c r="C249" s="50" t="inlineStr">
        <is>
          <t>Tube insulation, elastomere, at plant</t>
        </is>
      </c>
      <c r="D249" s="50" t="inlineStr">
        <is>
          <t>DE</t>
        </is>
      </c>
      <c r="E249" s="50" t="inlineStr">
        <is>
          <t>kilogram</t>
        </is>
      </c>
      <c r="F249" s="50" t="n"/>
      <c r="G249" s="50" t="inlineStr">
        <is>
          <t>technosphere</t>
        </is>
      </c>
      <c r="H249" s="50" t="inlineStr">
        <is>
          <t>bafu</t>
        </is>
      </c>
      <c r="I249" s="61" t="inlineStr">
        <is>
          <t>power electronics (rectifier, voltage adaption)</t>
        </is>
      </c>
      <c r="L249" s="12" t="n"/>
      <c r="M249" s="12" t="n"/>
      <c r="N249" s="12" t="n"/>
      <c r="O249" s="12" t="n"/>
      <c r="P249" s="12" t="n"/>
      <c r="Q249" s="12" t="n"/>
    </row>
    <row r="250" ht="15.6" customFormat="1" customHeight="1" s="8">
      <c r="A250" s="50" t="inlineStr">
        <is>
          <t>Wire drawing, copper</t>
        </is>
      </c>
      <c r="B250" s="56" t="n">
        <v>200</v>
      </c>
      <c r="C250" s="50" t="inlineStr">
        <is>
          <t>Wire drawing, copper</t>
        </is>
      </c>
      <c r="D250" s="50" t="inlineStr">
        <is>
          <t>RER</t>
        </is>
      </c>
      <c r="E250" s="50" t="inlineStr">
        <is>
          <t>kilogram</t>
        </is>
      </c>
      <c r="F250" s="50" t="n"/>
      <c r="G250" s="50" t="inlineStr">
        <is>
          <t>technosphere</t>
        </is>
      </c>
      <c r="H250" s="50" t="inlineStr">
        <is>
          <t>bafu</t>
        </is>
      </c>
      <c r="I250" s="61" t="inlineStr">
        <is>
          <t>power electronics (rectifier, voltage adaption)</t>
        </is>
      </c>
      <c r="L250" s="12" t="n"/>
      <c r="M250" s="12" t="n"/>
      <c r="N250" s="12" t="n"/>
      <c r="O250" s="12" t="n"/>
      <c r="P250" s="12" t="n"/>
      <c r="Q250" s="12" t="n"/>
    </row>
    <row r="251" ht="15.6" customFormat="1" customHeight="1" s="8">
      <c r="A251" s="50" t="inlineStr">
        <is>
          <t>Electronics for control units</t>
        </is>
      </c>
      <c r="B251" s="56" t="n">
        <v>100</v>
      </c>
      <c r="C251" s="50" t="inlineStr">
        <is>
          <t>Electronics for control units</t>
        </is>
      </c>
      <c r="D251" s="50" t="inlineStr">
        <is>
          <t>RER</t>
        </is>
      </c>
      <c r="E251" s="50" t="inlineStr">
        <is>
          <t>kilogram</t>
        </is>
      </c>
      <c r="F251" s="50" t="n"/>
      <c r="G251" s="50" t="inlineStr">
        <is>
          <t>technosphere</t>
        </is>
      </c>
      <c r="H251" s="50" t="inlineStr">
        <is>
          <t>bafu</t>
        </is>
      </c>
      <c r="I251" s="51" t="inlineStr">
        <is>
          <t>control panels/electronics</t>
        </is>
      </c>
      <c r="L251" s="12" t="n"/>
      <c r="M251" s="12" t="n"/>
      <c r="N251" s="12" t="n"/>
      <c r="O251" s="12" t="n"/>
      <c r="P251" s="12" t="n"/>
      <c r="Q251" s="12" t="n"/>
    </row>
    <row r="252" ht="15.6" customFormat="1" customHeight="1" s="8">
      <c r="A252" s="50" t="inlineStr">
        <is>
          <t>Glass fibre, at plant</t>
        </is>
      </c>
      <c r="B252" s="56" t="n">
        <v>464.6</v>
      </c>
      <c r="C252" s="50" t="inlineStr">
        <is>
          <t>Glass fibre, at plant</t>
        </is>
      </c>
      <c r="D252" s="50" t="inlineStr">
        <is>
          <t>RER</t>
        </is>
      </c>
      <c r="E252" s="50" t="inlineStr">
        <is>
          <t>kilogram</t>
        </is>
      </c>
      <c r="F252" s="50" t="n"/>
      <c r="G252" s="50" t="inlineStr">
        <is>
          <t>technosphere</t>
        </is>
      </c>
      <c r="H252" s="50" t="inlineStr">
        <is>
          <t>bafu</t>
        </is>
      </c>
      <c r="I252" s="51" t="inlineStr">
        <is>
          <t>hydrogen dryer and de-oxidizer</t>
        </is>
      </c>
      <c r="L252" s="12" t="n"/>
      <c r="M252" s="12" t="n"/>
      <c r="N252" s="12" t="n"/>
      <c r="O252" s="12" t="n"/>
      <c r="P252" s="12" t="n"/>
      <c r="Q252" s="12" t="n"/>
    </row>
    <row r="253" ht="15.6" customFormat="1" customHeight="1" s="8">
      <c r="A253" s="50" t="inlineStr">
        <is>
          <t>Reinforcing steel, at plant</t>
        </is>
      </c>
      <c r="B253" s="56" t="n">
        <v>696.8</v>
      </c>
      <c r="C253" s="50" t="inlineStr">
        <is>
          <t>Reinforcing steel, at plant</t>
        </is>
      </c>
      <c r="D253" s="50" t="inlineStr">
        <is>
          <t>RER</t>
        </is>
      </c>
      <c r="E253" s="50" t="inlineStr">
        <is>
          <t>kilogram</t>
        </is>
      </c>
      <c r="F253" s="50" t="n"/>
      <c r="G253" s="50" t="inlineStr">
        <is>
          <t>technosphere</t>
        </is>
      </c>
      <c r="H253" s="50" t="inlineStr">
        <is>
          <t>bafu</t>
        </is>
      </c>
      <c r="I253" s="51" t="inlineStr">
        <is>
          <t>hydrogen dryer and de-oxidizer</t>
        </is>
      </c>
      <c r="L253" s="12" t="n"/>
      <c r="M253" s="12" t="n"/>
      <c r="N253" s="12" t="n"/>
      <c r="O253" s="12" t="n"/>
      <c r="P253" s="12" t="n"/>
      <c r="Q253" s="12" t="n"/>
    </row>
    <row r="254" ht="15.6" customFormat="1" customHeight="1" s="8">
      <c r="A254" s="50" t="inlineStr">
        <is>
          <t>Sheet rolling, steel</t>
        </is>
      </c>
      <c r="B254" s="56" t="n">
        <v>696.8</v>
      </c>
      <c r="C254" s="50" t="inlineStr">
        <is>
          <t>Sheet rolling, steel</t>
        </is>
      </c>
      <c r="D254" s="50" t="inlineStr">
        <is>
          <t>RER</t>
        </is>
      </c>
      <c r="E254" s="50" t="inlineStr">
        <is>
          <t>kilogram</t>
        </is>
      </c>
      <c r="F254" s="50" t="n"/>
      <c r="G254" s="50" t="inlineStr">
        <is>
          <t>technosphere</t>
        </is>
      </c>
      <c r="H254" s="50" t="inlineStr">
        <is>
          <t>bafu</t>
        </is>
      </c>
      <c r="I254" s="51" t="inlineStr">
        <is>
          <t>hydrogen dryer and de-oxidizer</t>
        </is>
      </c>
      <c r="L254" s="12" t="n"/>
      <c r="M254" s="12" t="n"/>
      <c r="N254" s="12" t="n"/>
      <c r="O254" s="12" t="n"/>
      <c r="P254" s="12" t="n"/>
      <c r="Q254" s="12" t="n"/>
    </row>
    <row r="255" ht="15.6" customFormat="1" customHeight="1" s="8">
      <c r="A255" s="50" t="inlineStr">
        <is>
          <t>Sheet rolling, chromium steel</t>
        </is>
      </c>
      <c r="B255" s="56" t="n">
        <v>232.3</v>
      </c>
      <c r="C255" s="50" t="inlineStr">
        <is>
          <t>Sheet rolling, chromium steel</t>
        </is>
      </c>
      <c r="D255" s="50" t="inlineStr">
        <is>
          <t>RER</t>
        </is>
      </c>
      <c r="E255" s="50" t="inlineStr">
        <is>
          <t>kilogram</t>
        </is>
      </c>
      <c r="F255" s="50" t="n"/>
      <c r="G255" s="50" t="inlineStr">
        <is>
          <t>technosphere</t>
        </is>
      </c>
      <c r="H255" s="50" t="inlineStr">
        <is>
          <t>bafu</t>
        </is>
      </c>
      <c r="I255" s="51" t="inlineStr">
        <is>
          <t>hydrogen dryer and de-oxidizer</t>
        </is>
      </c>
      <c r="L255" s="12" t="n"/>
      <c r="M255" s="12" t="n"/>
      <c r="N255" s="12" t="n"/>
      <c r="O255" s="12" t="n"/>
      <c r="P255" s="12" t="n"/>
      <c r="Q255" s="12" t="n"/>
    </row>
    <row r="256" ht="15.6" customFormat="1" customHeight="1" s="8">
      <c r="A256" s="50" t="inlineStr">
        <is>
          <t>Chromium steel 18/8, at plant</t>
        </is>
      </c>
      <c r="B256" s="56" t="n">
        <v>232.3</v>
      </c>
      <c r="C256" s="50" t="inlineStr">
        <is>
          <t>Chromium steel 18/8, at plant</t>
        </is>
      </c>
      <c r="D256" s="50" t="inlineStr">
        <is>
          <t>RER</t>
        </is>
      </c>
      <c r="E256" s="50" t="inlineStr">
        <is>
          <t>kilogram</t>
        </is>
      </c>
      <c r="F256" s="50" t="n"/>
      <c r="G256" s="50" t="inlineStr">
        <is>
          <t>technosphere</t>
        </is>
      </c>
      <c r="H256" s="50" t="inlineStr">
        <is>
          <t>bafu</t>
        </is>
      </c>
      <c r="I256" s="51" t="inlineStr">
        <is>
          <t>hydrogen dryer and de-oxidizer</t>
        </is>
      </c>
      <c r="L256" s="12" t="n"/>
      <c r="M256" s="12" t="n"/>
      <c r="N256" s="12" t="n"/>
      <c r="O256" s="12" t="n"/>
      <c r="P256" s="12" t="n"/>
      <c r="Q256" s="12" t="n"/>
    </row>
    <row r="257" ht="15.6" customFormat="1" customHeight="1" s="8">
      <c r="A257" s="50" t="inlineStr">
        <is>
          <t>Extrusion, plastic pipes</t>
        </is>
      </c>
      <c r="B257" s="56" t="n">
        <v>464.6</v>
      </c>
      <c r="C257" s="50" t="inlineStr">
        <is>
          <t>Extrusion, plastic pipes</t>
        </is>
      </c>
      <c r="D257" s="50" t="inlineStr">
        <is>
          <t>RER</t>
        </is>
      </c>
      <c r="E257" s="50" t="inlineStr">
        <is>
          <t>kilogram</t>
        </is>
      </c>
      <c r="F257" s="50" t="n"/>
      <c r="G257" s="50" t="inlineStr">
        <is>
          <t>technosphere</t>
        </is>
      </c>
      <c r="H257" s="50" t="inlineStr">
        <is>
          <t>bafu</t>
        </is>
      </c>
      <c r="I257" s="51" t="inlineStr">
        <is>
          <t>water purifier and feed tank</t>
        </is>
      </c>
      <c r="L257" s="12" t="n"/>
      <c r="M257" s="12" t="n"/>
      <c r="N257" s="12" t="n"/>
      <c r="O257" s="12" t="n"/>
      <c r="P257" s="12" t="n"/>
      <c r="Q257" s="12" t="n"/>
    </row>
    <row r="258" ht="15.6" customFormat="1" customHeight="1" s="8">
      <c r="A258" s="50" t="inlineStr">
        <is>
          <t>Polyethylene, LDPE, granulate, at plant</t>
        </is>
      </c>
      <c r="B258" s="56" t="n">
        <v>464.6</v>
      </c>
      <c r="C258" s="50" t="inlineStr">
        <is>
          <t>Polyethylene, LDPE, granulate, at plant</t>
        </is>
      </c>
      <c r="D258" s="50" t="inlineStr">
        <is>
          <t>RER</t>
        </is>
      </c>
      <c r="E258" s="50" t="inlineStr">
        <is>
          <t>kilogram</t>
        </is>
      </c>
      <c r="F258" s="50" t="n"/>
      <c r="G258" s="50" t="inlineStr">
        <is>
          <t>technosphere</t>
        </is>
      </c>
      <c r="H258" s="50" t="inlineStr">
        <is>
          <t>bafu</t>
        </is>
      </c>
      <c r="I258" s="51" t="inlineStr">
        <is>
          <t>water purifier and feed tank</t>
        </is>
      </c>
      <c r="L258" s="12" t="n"/>
      <c r="M258" s="12" t="n"/>
      <c r="N258" s="12" t="n"/>
      <c r="O258" s="12" t="n"/>
      <c r="P258" s="12" t="n"/>
      <c r="Q258" s="12" t="n"/>
    </row>
    <row r="259" ht="15.6" customFormat="1" customHeight="1" s="8">
      <c r="A259" s="50" t="inlineStr">
        <is>
          <t>Reinforcing steel, at plant</t>
        </is>
      </c>
      <c r="B259" s="56" t="n">
        <v>232.3</v>
      </c>
      <c r="C259" s="50" t="inlineStr">
        <is>
          <t>Reinforcing steel, at plant</t>
        </is>
      </c>
      <c r="D259" s="50" t="inlineStr">
        <is>
          <t>RER</t>
        </is>
      </c>
      <c r="E259" s="50" t="inlineStr">
        <is>
          <t>kilogram</t>
        </is>
      </c>
      <c r="F259" s="50" t="n"/>
      <c r="G259" s="50" t="inlineStr">
        <is>
          <t>technosphere</t>
        </is>
      </c>
      <c r="H259" s="50" t="inlineStr">
        <is>
          <t>bafu</t>
        </is>
      </c>
      <c r="I259" s="51" t="inlineStr">
        <is>
          <t>water purifier and feed tank</t>
        </is>
      </c>
      <c r="L259" s="12" t="n"/>
      <c r="M259" s="12" t="n"/>
      <c r="N259" s="12" t="n"/>
      <c r="O259" s="12" t="n"/>
      <c r="P259" s="12" t="n"/>
      <c r="Q259" s="12" t="n"/>
    </row>
    <row r="260" ht="15.6" customFormat="1" customHeight="1" s="8">
      <c r="A260" s="50" t="inlineStr">
        <is>
          <t>Sheet rolling, steel</t>
        </is>
      </c>
      <c r="B260" s="56" t="n">
        <v>232.3</v>
      </c>
      <c r="C260" s="50" t="inlineStr">
        <is>
          <t>Sheet rolling, steel</t>
        </is>
      </c>
      <c r="D260" s="50" t="inlineStr">
        <is>
          <t>RER</t>
        </is>
      </c>
      <c r="E260" s="50" t="inlineStr">
        <is>
          <t>kilogram</t>
        </is>
      </c>
      <c r="F260" s="50" t="n"/>
      <c r="G260" s="50" t="inlineStr">
        <is>
          <t>technosphere</t>
        </is>
      </c>
      <c r="H260" s="50" t="inlineStr">
        <is>
          <t>bafu</t>
        </is>
      </c>
      <c r="I260" s="51" t="inlineStr">
        <is>
          <t>water purifier and feed tank</t>
        </is>
      </c>
      <c r="L260" s="12" t="n"/>
      <c r="M260" s="12" t="n"/>
      <c r="N260" s="12" t="n"/>
      <c r="O260" s="12" t="n"/>
      <c r="P260" s="12" t="n"/>
      <c r="Q260" s="12" t="n"/>
    </row>
    <row r="261" ht="15.6" customFormat="1" customHeight="1" s="8">
      <c r="A261" s="50" t="inlineStr">
        <is>
          <t>Aluminium, production mix, wrought alloy, at plant</t>
        </is>
      </c>
      <c r="B261" s="56" t="n">
        <v>60</v>
      </c>
      <c r="C261" s="50" t="inlineStr">
        <is>
          <t>Aluminium, production mix, wrought alloy, at plant</t>
        </is>
      </c>
      <c r="D261" s="50" t="inlineStr">
        <is>
          <t>RER</t>
        </is>
      </c>
      <c r="E261" s="50" t="inlineStr">
        <is>
          <t>kilogram</t>
        </is>
      </c>
      <c r="F261" s="50" t="n"/>
      <c r="G261" s="50" t="inlineStr">
        <is>
          <t>technosphere</t>
        </is>
      </c>
      <c r="H261" s="50" t="inlineStr">
        <is>
          <t>bafu</t>
        </is>
      </c>
      <c r="I261" s="51" t="inlineStr">
        <is>
          <t>frequency converter, diaphragm compressor</t>
        </is>
      </c>
      <c r="L261" s="12" t="n"/>
      <c r="M261" s="12" t="n"/>
      <c r="N261" s="12" t="n"/>
      <c r="O261" s="12" t="n"/>
      <c r="P261" s="12" t="n"/>
      <c r="Q261" s="12" t="n"/>
    </row>
    <row r="262" ht="15.6" customFormat="1" customHeight="1" s="8">
      <c r="A262" s="50" t="inlineStr">
        <is>
          <t>Copper, primary, at refinery</t>
        </is>
      </c>
      <c r="B262" s="56" t="n">
        <v>45</v>
      </c>
      <c r="C262" s="50" t="inlineStr">
        <is>
          <t>Copper, primary, at refinery</t>
        </is>
      </c>
      <c r="D262" s="50" t="inlineStr">
        <is>
          <t>GLO</t>
        </is>
      </c>
      <c r="E262" s="50" t="inlineStr">
        <is>
          <t>kilogram</t>
        </is>
      </c>
      <c r="F262" s="50" t="n"/>
      <c r="G262" s="50" t="inlineStr">
        <is>
          <t>technosphere</t>
        </is>
      </c>
      <c r="H262" s="50" t="inlineStr">
        <is>
          <t>bafu</t>
        </is>
      </c>
      <c r="I262" s="51" t="inlineStr">
        <is>
          <t>frequency converter, diaphragm compressor</t>
        </is>
      </c>
      <c r="L262" s="12" t="n"/>
      <c r="M262" s="12" t="n"/>
      <c r="N262" s="12" t="n"/>
      <c r="O262" s="12" t="n"/>
      <c r="P262" s="12" t="n"/>
      <c r="Q262" s="12" t="n"/>
    </row>
    <row r="263" ht="15.6" customFormat="1" customHeight="1" s="8">
      <c r="A263" s="50" t="inlineStr">
        <is>
          <t>Reinforcing steel, at plant</t>
        </is>
      </c>
      <c r="B263" s="56" t="n">
        <v>180</v>
      </c>
      <c r="C263" s="50" t="inlineStr">
        <is>
          <t>Reinforcing steel, at plant</t>
        </is>
      </c>
      <c r="D263" s="50" t="inlineStr">
        <is>
          <t>RER</t>
        </is>
      </c>
      <c r="E263" s="50" t="inlineStr">
        <is>
          <t>kilogram</t>
        </is>
      </c>
      <c r="F263" s="50" t="n"/>
      <c r="G263" s="50" t="inlineStr">
        <is>
          <t>technosphere</t>
        </is>
      </c>
      <c r="H263" s="50" t="inlineStr">
        <is>
          <t>bafu</t>
        </is>
      </c>
      <c r="I263" s="51" t="inlineStr">
        <is>
          <t>frequency converter, diaphragm compressor</t>
        </is>
      </c>
      <c r="L263" s="12" t="n"/>
      <c r="M263" s="12" t="n"/>
      <c r="N263" s="12" t="n"/>
      <c r="O263" s="12" t="n"/>
      <c r="P263" s="12" t="n"/>
      <c r="Q263" s="12" t="n"/>
    </row>
    <row r="264" ht="15.6" customFormat="1" customHeight="1" s="8">
      <c r="A264" s="50" t="inlineStr">
        <is>
          <t>Tube insulation, elastomere, at plant</t>
        </is>
      </c>
      <c r="B264" s="56" t="n">
        <v>15</v>
      </c>
      <c r="C264" s="50" t="inlineStr">
        <is>
          <t>Tube insulation, elastomere, at plant</t>
        </is>
      </c>
      <c r="D264" s="50" t="inlineStr">
        <is>
          <t>DE</t>
        </is>
      </c>
      <c r="E264" s="50" t="inlineStr">
        <is>
          <t>kilogram</t>
        </is>
      </c>
      <c r="F264" s="50" t="n"/>
      <c r="G264" s="50" t="inlineStr">
        <is>
          <t>technosphere</t>
        </is>
      </c>
      <c r="H264" s="50" t="inlineStr">
        <is>
          <t>bafu</t>
        </is>
      </c>
      <c r="I264" s="51" t="inlineStr">
        <is>
          <t>frequency converter, diaphragm compressor</t>
        </is>
      </c>
      <c r="L264" s="12" t="n"/>
      <c r="M264" s="12" t="n"/>
      <c r="N264" s="12" t="n"/>
      <c r="O264" s="12" t="n"/>
      <c r="P264" s="12" t="n"/>
      <c r="Q264" s="12" t="n"/>
    </row>
    <row r="265" ht="15.6" customFormat="1" customHeight="1" s="8">
      <c r="A265" s="50" t="inlineStr">
        <is>
          <t>Wire drawing, copper</t>
        </is>
      </c>
      <c r="B265" s="56" t="n">
        <v>45</v>
      </c>
      <c r="C265" s="50" t="inlineStr">
        <is>
          <t>Wire drawing, copper</t>
        </is>
      </c>
      <c r="D265" s="50" t="inlineStr">
        <is>
          <t>RER</t>
        </is>
      </c>
      <c r="E265" s="50" t="inlineStr">
        <is>
          <t>kilogram</t>
        </is>
      </c>
      <c r="F265" s="50" t="n"/>
      <c r="G265" s="50" t="inlineStr">
        <is>
          <t>technosphere</t>
        </is>
      </c>
      <c r="H265" s="50" t="inlineStr">
        <is>
          <t>bafu</t>
        </is>
      </c>
      <c r="I265" s="51" t="inlineStr">
        <is>
          <t>frequency converter, diaphragm compressor</t>
        </is>
      </c>
      <c r="L265" s="12" t="n"/>
      <c r="M265" s="12" t="n"/>
      <c r="N265" s="12" t="n"/>
      <c r="O265" s="12" t="n"/>
      <c r="P265" s="12" t="n"/>
      <c r="Q265" s="12" t="n"/>
    </row>
    <row r="266" ht="15.6" customFormat="1" customHeight="1" s="8">
      <c r="A266" s="50" t="inlineStr">
        <is>
          <t>Cast iron, at plant</t>
        </is>
      </c>
      <c r="B266" s="56" t="n">
        <v>600</v>
      </c>
      <c r="C266" s="50" t="inlineStr">
        <is>
          <t>Cast iron, at plant</t>
        </is>
      </c>
      <c r="D266" s="50" t="inlineStr">
        <is>
          <t>RER</t>
        </is>
      </c>
      <c r="E266" s="50" t="inlineStr">
        <is>
          <t>kilogram</t>
        </is>
      </c>
      <c r="F266" s="50" t="n"/>
      <c r="G266" s="50" t="inlineStr">
        <is>
          <t>technosphere</t>
        </is>
      </c>
      <c r="H266" s="50" t="inlineStr">
        <is>
          <t>bafu</t>
        </is>
      </c>
      <c r="I266" s="51" t="inlineStr">
        <is>
          <t>diaphragm for diaphragm compressor</t>
        </is>
      </c>
      <c r="L266" s="12" t="n"/>
      <c r="M266" s="12" t="n"/>
      <c r="N266" s="12" t="n"/>
      <c r="O266" s="12" t="n"/>
      <c r="P266" s="12" t="n"/>
      <c r="Q266" s="12" t="n"/>
    </row>
    <row r="267" ht="15.6" customFormat="1" customHeight="1" s="8">
      <c r="A267" s="50" t="inlineStr">
        <is>
          <t>Ethylene glycol, at plant</t>
        </is>
      </c>
      <c r="B267" s="56" t="n">
        <v>7</v>
      </c>
      <c r="C267" s="50" t="inlineStr">
        <is>
          <t>Ethylene glycol, at plant</t>
        </is>
      </c>
      <c r="D267" s="50" t="inlineStr">
        <is>
          <t>RER</t>
        </is>
      </c>
      <c r="E267" s="50" t="inlineStr">
        <is>
          <t>kilogram</t>
        </is>
      </c>
      <c r="F267" s="50" t="n"/>
      <c r="G267" s="50" t="inlineStr">
        <is>
          <t>technosphere</t>
        </is>
      </c>
      <c r="H267" s="50" t="inlineStr">
        <is>
          <t>bafu</t>
        </is>
      </c>
      <c r="I267" s="51" t="inlineStr">
        <is>
          <t>diaphragm for diaphragm compressor</t>
        </is>
      </c>
      <c r="L267" s="12" t="n"/>
      <c r="M267" s="12" t="n"/>
      <c r="N267" s="12" t="n"/>
      <c r="O267" s="12" t="n"/>
      <c r="P267" s="12" t="n"/>
      <c r="Q267" s="12" t="n"/>
    </row>
    <row r="268" ht="15.6" customFormat="1" customHeight="1" s="8">
      <c r="A268" s="50" t="inlineStr">
        <is>
          <t>Reinforcing steel, at plant</t>
        </is>
      </c>
      <c r="B268" s="56" t="n">
        <v>1300</v>
      </c>
      <c r="C268" s="50" t="inlineStr">
        <is>
          <t>Reinforcing steel, at plant</t>
        </is>
      </c>
      <c r="D268" s="50" t="inlineStr">
        <is>
          <t>RER</t>
        </is>
      </c>
      <c r="E268" s="50" t="inlineStr">
        <is>
          <t>kilogram</t>
        </is>
      </c>
      <c r="F268" s="50" t="n"/>
      <c r="G268" s="50" t="inlineStr">
        <is>
          <t>technosphere</t>
        </is>
      </c>
      <c r="H268" s="50" t="inlineStr">
        <is>
          <t>bafu</t>
        </is>
      </c>
      <c r="I268" s="51" t="inlineStr">
        <is>
          <t>diaphragm for diaphragm compressor</t>
        </is>
      </c>
      <c r="L268" s="12" t="n"/>
      <c r="M268" s="12" t="n"/>
      <c r="N268" s="12" t="n"/>
      <c r="O268" s="12" t="n"/>
      <c r="P268" s="12" t="n"/>
      <c r="Q268" s="12" t="n"/>
    </row>
    <row r="269" ht="15.6" customFormat="1" customHeight="1" s="8">
      <c r="A269" s="50" t="inlineStr">
        <is>
          <t>Sheet rolling, chromium steel</t>
        </is>
      </c>
      <c r="B269" s="56" t="n">
        <v>405</v>
      </c>
      <c r="C269" s="50" t="inlineStr">
        <is>
          <t>Sheet rolling, chromium steel</t>
        </is>
      </c>
      <c r="D269" s="50" t="inlineStr">
        <is>
          <t>RER</t>
        </is>
      </c>
      <c r="E269" s="50" t="inlineStr">
        <is>
          <t>kilogram</t>
        </is>
      </c>
      <c r="F269" s="50" t="n"/>
      <c r="G269" s="50" t="inlineStr">
        <is>
          <t>technosphere</t>
        </is>
      </c>
      <c r="H269" s="50" t="inlineStr">
        <is>
          <t>bafu</t>
        </is>
      </c>
      <c r="I269" s="51" t="inlineStr">
        <is>
          <t>diaphragm for diaphragm compressor</t>
        </is>
      </c>
      <c r="L269" s="12" t="n"/>
      <c r="M269" s="12" t="n"/>
      <c r="N269" s="12" t="n"/>
      <c r="O269" s="12" t="n"/>
      <c r="P269" s="12" t="n"/>
      <c r="Q269" s="12" t="n"/>
    </row>
    <row r="270" ht="15.6" customFormat="1" customHeight="1" s="8">
      <c r="A270" s="50" t="inlineStr">
        <is>
          <t>Sheet rolling, steel</t>
        </is>
      </c>
      <c r="B270" s="56" t="n">
        <v>400</v>
      </c>
      <c r="C270" s="50" t="inlineStr">
        <is>
          <t>Sheet rolling, steel</t>
        </is>
      </c>
      <c r="D270" s="50" t="inlineStr">
        <is>
          <t>RER</t>
        </is>
      </c>
      <c r="E270" s="50" t="inlineStr">
        <is>
          <t>kilogram</t>
        </is>
      </c>
      <c r="F270" s="50" t="n"/>
      <c r="G270" s="50" t="inlineStr">
        <is>
          <t>technosphere</t>
        </is>
      </c>
      <c r="H270" s="50" t="inlineStr">
        <is>
          <t>bafu</t>
        </is>
      </c>
      <c r="I270" s="51" t="inlineStr">
        <is>
          <t>diaphragm for diaphragm compressor</t>
        </is>
      </c>
      <c r="L270" s="12" t="n"/>
      <c r="M270" s="12" t="n"/>
      <c r="N270" s="12" t="n"/>
      <c r="O270" s="12" t="n"/>
      <c r="P270" s="12" t="n"/>
      <c r="Q270" s="12" t="n"/>
    </row>
    <row r="271" ht="15.6" customFormat="1" customHeight="1" s="8">
      <c r="A271" s="50" t="inlineStr">
        <is>
          <t>Chromium steel 18/8, at plant</t>
        </is>
      </c>
      <c r="B271" s="56" t="n">
        <v>405</v>
      </c>
      <c r="C271" s="50" t="inlineStr">
        <is>
          <t>Chromium steel 18/8, at plant</t>
        </is>
      </c>
      <c r="D271" s="50" t="inlineStr">
        <is>
          <t>RER</t>
        </is>
      </c>
      <c r="E271" s="50" t="inlineStr">
        <is>
          <t>kilogram</t>
        </is>
      </c>
      <c r="F271" s="50" t="n"/>
      <c r="G271" s="50" t="inlineStr">
        <is>
          <t>technosphere</t>
        </is>
      </c>
      <c r="H271" s="50" t="inlineStr">
        <is>
          <t>bafu</t>
        </is>
      </c>
      <c r="I271" s="51" t="inlineStr">
        <is>
          <t>diaphragm for diaphragm compressor</t>
        </is>
      </c>
      <c r="L271" s="12" t="n"/>
      <c r="M271" s="12" t="n"/>
      <c r="N271" s="12" t="n"/>
      <c r="O271" s="12" t="n"/>
      <c r="P271" s="12" t="n"/>
      <c r="Q271" s="12" t="n"/>
    </row>
    <row r="272" ht="15.6" customFormat="1" customHeight="1" s="8">
      <c r="A272" s="50" t="inlineStr">
        <is>
          <t>Reinforcing steel, at plant</t>
        </is>
      </c>
      <c r="B272" s="56" t="n">
        <v>1000</v>
      </c>
      <c r="C272" s="50" t="inlineStr">
        <is>
          <t>Reinforcing steel, at plant</t>
        </is>
      </c>
      <c r="D272" s="50" t="inlineStr">
        <is>
          <t>RER</t>
        </is>
      </c>
      <c r="E272" s="50" t="inlineStr">
        <is>
          <t>kilogram</t>
        </is>
      </c>
      <c r="F272" s="50" t="n"/>
      <c r="G272" s="50" t="inlineStr">
        <is>
          <t>technosphere</t>
        </is>
      </c>
      <c r="H272" s="50" t="inlineStr">
        <is>
          <t>bafu</t>
        </is>
      </c>
      <c r="I272" s="51" t="inlineStr">
        <is>
          <t>container with pipes and fittings for compressor</t>
        </is>
      </c>
      <c r="L272" s="12" t="n"/>
      <c r="M272" s="12" t="n"/>
      <c r="N272" s="12" t="n"/>
      <c r="O272" s="12" t="n"/>
      <c r="P272" s="12" t="n"/>
      <c r="Q272" s="12" t="n"/>
    </row>
    <row r="273" ht="15.6" customFormat="1" customHeight="1" s="8">
      <c r="A273" s="50" t="inlineStr">
        <is>
          <t>Sheet rolling, chromium steel</t>
        </is>
      </c>
      <c r="B273" s="56" t="n">
        <v>1500</v>
      </c>
      <c r="C273" s="50" t="inlineStr">
        <is>
          <t>Sheet rolling, chromium steel</t>
        </is>
      </c>
      <c r="D273" s="50" t="inlineStr">
        <is>
          <t>RER</t>
        </is>
      </c>
      <c r="E273" s="50" t="inlineStr">
        <is>
          <t>kilogram</t>
        </is>
      </c>
      <c r="F273" s="50" t="n"/>
      <c r="G273" s="50" t="inlineStr">
        <is>
          <t>technosphere</t>
        </is>
      </c>
      <c r="H273" s="50" t="inlineStr">
        <is>
          <t>bafu</t>
        </is>
      </c>
      <c r="I273" s="51" t="inlineStr">
        <is>
          <t>container with pipes and fittings for compressor</t>
        </is>
      </c>
      <c r="L273" s="12" t="n"/>
      <c r="M273" s="12" t="n"/>
      <c r="N273" s="12" t="n"/>
      <c r="O273" s="12" t="n"/>
      <c r="P273" s="12" t="n"/>
      <c r="Q273" s="12" t="n"/>
    </row>
    <row r="274" ht="15.6" customFormat="1" customHeight="1" s="8">
      <c r="A274" s="50" t="inlineStr">
        <is>
          <t>Sheet rolling, steel</t>
        </is>
      </c>
      <c r="B274" s="56" t="n">
        <v>1000</v>
      </c>
      <c r="C274" s="50" t="inlineStr">
        <is>
          <t>Sheet rolling, steel</t>
        </is>
      </c>
      <c r="D274" s="50" t="inlineStr">
        <is>
          <t>RER</t>
        </is>
      </c>
      <c r="E274" s="50" t="inlineStr">
        <is>
          <t>kilogram</t>
        </is>
      </c>
      <c r="F274" s="50" t="n"/>
      <c r="G274" s="50" t="inlineStr">
        <is>
          <t>technosphere</t>
        </is>
      </c>
      <c r="H274" s="50" t="inlineStr">
        <is>
          <t>bafu</t>
        </is>
      </c>
      <c r="I274" s="51" t="inlineStr">
        <is>
          <t>container with pipes and fittings for compressor</t>
        </is>
      </c>
      <c r="L274" s="12" t="n"/>
      <c r="M274" s="12" t="n"/>
      <c r="N274" s="12" t="n"/>
      <c r="O274" s="12" t="n"/>
      <c r="P274" s="12" t="n"/>
      <c r="Q274" s="12" t="n"/>
    </row>
    <row r="275" ht="15.6" customFormat="1" customHeight="1" s="8">
      <c r="A275" s="50" t="inlineStr">
        <is>
          <t>Chromium steel 18/8, at plant</t>
        </is>
      </c>
      <c r="B275" s="56" t="n">
        <v>1500</v>
      </c>
      <c r="C275" s="50" t="inlineStr">
        <is>
          <t>Chromium steel 18/8, at plant</t>
        </is>
      </c>
      <c r="D275" s="50" t="inlineStr">
        <is>
          <t>RER</t>
        </is>
      </c>
      <c r="E275" s="50" t="inlineStr">
        <is>
          <t>kilogram</t>
        </is>
      </c>
      <c r="F275" s="50" t="n"/>
      <c r="G275" s="50" t="inlineStr">
        <is>
          <t>technosphere</t>
        </is>
      </c>
      <c r="H275" s="50" t="inlineStr">
        <is>
          <t>bafu</t>
        </is>
      </c>
      <c r="I275" s="51" t="inlineStr">
        <is>
          <t>container with pipes and fittings for compressor</t>
        </is>
      </c>
      <c r="L275" s="12" t="n"/>
      <c r="M275" s="12" t="n"/>
      <c r="N275" s="12" t="n"/>
      <c r="O275" s="12" t="n"/>
      <c r="P275" s="12" t="n"/>
      <c r="Q275" s="12" t="n"/>
    </row>
    <row r="276" ht="15.6" customFormat="1" customHeight="1" s="8">
      <c r="A276" s="50" t="inlineStr">
        <is>
          <t>Sheet rolling, chromium steel</t>
        </is>
      </c>
      <c r="B276" s="56" t="n">
        <v>511</v>
      </c>
      <c r="C276" s="50" t="inlineStr">
        <is>
          <t>Sheet rolling, chromium steel</t>
        </is>
      </c>
      <c r="D276" s="50" t="inlineStr">
        <is>
          <t>RER</t>
        </is>
      </c>
      <c r="E276" s="50" t="inlineStr">
        <is>
          <t>kilogram</t>
        </is>
      </c>
      <c r="F276" s="50" t="n"/>
      <c r="G276" s="50" t="inlineStr">
        <is>
          <t>technosphere</t>
        </is>
      </c>
      <c r="H276" s="50" t="inlineStr">
        <is>
          <t>bafu</t>
        </is>
      </c>
      <c r="I276" s="51" t="inlineStr">
        <is>
          <t>buffer tank</t>
        </is>
      </c>
      <c r="L276" s="12" t="n"/>
      <c r="M276" s="12" t="n"/>
      <c r="N276" s="12" t="n"/>
      <c r="O276" s="12" t="n"/>
      <c r="P276" s="12" t="n"/>
      <c r="Q276" s="12" t="n"/>
    </row>
    <row r="277" ht="15.6" customFormat="1" customHeight="1" s="8">
      <c r="A277" s="50" t="inlineStr">
        <is>
          <t>Chromium steel 18/8, at plant</t>
        </is>
      </c>
      <c r="B277" s="56" t="n">
        <v>511</v>
      </c>
      <c r="C277" s="50" t="inlineStr">
        <is>
          <t>Chromium steel 18/8, at plant</t>
        </is>
      </c>
      <c r="D277" s="50" t="inlineStr">
        <is>
          <t>RER</t>
        </is>
      </c>
      <c r="E277" s="50" t="inlineStr">
        <is>
          <t>kilogram</t>
        </is>
      </c>
      <c r="F277" s="50" t="n"/>
      <c r="G277" s="50" t="inlineStr">
        <is>
          <t>technosphere</t>
        </is>
      </c>
      <c r="H277" s="50" t="inlineStr">
        <is>
          <t>bafu</t>
        </is>
      </c>
      <c r="I277" s="51" t="inlineStr">
        <is>
          <t>buffer tank</t>
        </is>
      </c>
      <c r="L277" s="12" t="n"/>
      <c r="M277" s="12" t="n"/>
      <c r="N277" s="12" t="n"/>
      <c r="O277" s="12" t="n"/>
      <c r="P277" s="12" t="n"/>
      <c r="Q277" s="12" t="n"/>
    </row>
    <row r="278" ht="15.6" customFormat="1" customHeight="1" s="8">
      <c r="A278" s="50" t="inlineStr">
        <is>
          <t>Copper, primary, at refinery</t>
        </is>
      </c>
      <c r="B278" s="56" t="n">
        <v>371.7</v>
      </c>
      <c r="C278" s="50" t="inlineStr">
        <is>
          <t>Copper, primary, at refinery</t>
        </is>
      </c>
      <c r="D278" s="50" t="inlineStr">
        <is>
          <t>GLO</t>
        </is>
      </c>
      <c r="E278" s="50" t="inlineStr">
        <is>
          <t>kilogram</t>
        </is>
      </c>
      <c r="F278" s="50" t="n"/>
      <c r="G278" s="50" t="inlineStr">
        <is>
          <t>technosphere</t>
        </is>
      </c>
      <c r="H278" s="50" t="inlineStr">
        <is>
          <t>bafu</t>
        </is>
      </c>
      <c r="I278" s="51" t="inlineStr">
        <is>
          <t>tubing and cables</t>
        </is>
      </c>
      <c r="L278" s="12" t="n"/>
      <c r="M278" s="12" t="n"/>
      <c r="N278" s="12" t="n"/>
      <c r="O278" s="12" t="n"/>
      <c r="P278" s="12" t="n"/>
      <c r="Q278" s="12" t="n"/>
    </row>
    <row r="279" ht="15.6" customFormat="1" customHeight="1" s="8">
      <c r="A279" s="50" t="inlineStr">
        <is>
          <t>Wire drawing, copper</t>
        </is>
      </c>
      <c r="B279" s="56" t="n">
        <v>371.7</v>
      </c>
      <c r="C279" s="50" t="inlineStr">
        <is>
          <t>Wire drawing, copper</t>
        </is>
      </c>
      <c r="D279" s="50" t="inlineStr">
        <is>
          <t>RER</t>
        </is>
      </c>
      <c r="E279" s="50" t="inlineStr">
        <is>
          <t>kilogram</t>
        </is>
      </c>
      <c r="F279" s="50" t="n"/>
      <c r="G279" s="50" t="inlineStr">
        <is>
          <t>technosphere</t>
        </is>
      </c>
      <c r="H279" s="50" t="inlineStr">
        <is>
          <t>bafu</t>
        </is>
      </c>
      <c r="I279" s="51" t="inlineStr">
        <is>
          <t>tubing and cables</t>
        </is>
      </c>
      <c r="L279" s="12" t="n"/>
      <c r="M279" s="12" t="n"/>
      <c r="N279" s="12" t="n"/>
      <c r="O279" s="12" t="n"/>
      <c r="P279" s="12" t="n"/>
      <c r="Q279" s="12" t="n"/>
    </row>
    <row r="280" ht="15.6" customFormat="1" customHeight="1" s="8">
      <c r="A280" s="50" t="inlineStr">
        <is>
          <t>Sheet rolling, chromium steel</t>
        </is>
      </c>
      <c r="B280" s="56" t="n">
        <v>929.1</v>
      </c>
      <c r="C280" s="50" t="inlineStr">
        <is>
          <t>Sheet rolling, chromium steel</t>
        </is>
      </c>
      <c r="D280" s="50" t="inlineStr">
        <is>
          <t>RER</t>
        </is>
      </c>
      <c r="E280" s="50" t="inlineStr">
        <is>
          <t>kilogram</t>
        </is>
      </c>
      <c r="F280" s="50" t="n"/>
      <c r="G280" s="50" t="inlineStr">
        <is>
          <t>technosphere</t>
        </is>
      </c>
      <c r="H280" s="50" t="inlineStr">
        <is>
          <t>bafu</t>
        </is>
      </c>
      <c r="I280" s="51" t="inlineStr">
        <is>
          <t>tubing and cables</t>
        </is>
      </c>
      <c r="L280" s="12" t="n"/>
      <c r="M280" s="12" t="n"/>
      <c r="N280" s="12" t="n"/>
      <c r="O280" s="12" t="n"/>
      <c r="P280" s="12" t="n"/>
      <c r="Q280" s="12" t="n"/>
    </row>
    <row r="281" ht="15.6" customFormat="1" customHeight="1" s="8">
      <c r="A281" s="50" t="inlineStr">
        <is>
          <t>Chromium steel 18/8, at plant</t>
        </is>
      </c>
      <c r="B281" s="56" t="n">
        <v>929.1</v>
      </c>
      <c r="C281" s="50" t="inlineStr">
        <is>
          <t>Chromium steel 18/8, at plant</t>
        </is>
      </c>
      <c r="D281" s="50" t="inlineStr">
        <is>
          <t>RER</t>
        </is>
      </c>
      <c r="E281" s="50" t="inlineStr">
        <is>
          <t>kilogram</t>
        </is>
      </c>
      <c r="F281" s="50" t="n"/>
      <c r="G281" s="50" t="inlineStr">
        <is>
          <t>technosphere</t>
        </is>
      </c>
      <c r="H281" s="50" t="inlineStr">
        <is>
          <t>bafu</t>
        </is>
      </c>
      <c r="I281" s="51" t="inlineStr">
        <is>
          <t>tubing and cables</t>
        </is>
      </c>
      <c r="L281" s="12" t="n"/>
      <c r="M281" s="12" t="n"/>
      <c r="N281" s="12" t="n"/>
      <c r="O281" s="12" t="n"/>
      <c r="P281" s="12" t="n"/>
      <c r="Q281" s="12" t="n"/>
    </row>
    <row r="282" ht="15.6" customFormat="1" customHeight="1" s="8">
      <c r="A282" s="50" t="inlineStr">
        <is>
          <t>Tube insulation, elastomere, at plant</t>
        </is>
      </c>
      <c r="B282" s="56" t="n">
        <v>92.90000000000001</v>
      </c>
      <c r="C282" s="50" t="inlineStr">
        <is>
          <t>Tube insulation, elastomere, at plant</t>
        </is>
      </c>
      <c r="D282" s="50" t="inlineStr">
        <is>
          <t>DE</t>
        </is>
      </c>
      <c r="E282" s="50" t="inlineStr">
        <is>
          <t>kilogram</t>
        </is>
      </c>
      <c r="F282" s="50" t="n"/>
      <c r="G282" s="50" t="inlineStr">
        <is>
          <t>technosphere</t>
        </is>
      </c>
      <c r="H282" s="50" t="inlineStr">
        <is>
          <t>bafu</t>
        </is>
      </c>
      <c r="I282" s="51" t="inlineStr">
        <is>
          <t>tubing and cables</t>
        </is>
      </c>
      <c r="L282" s="12" t="n"/>
      <c r="M282" s="12" t="n"/>
      <c r="N282" s="12" t="n"/>
      <c r="O282" s="12" t="n"/>
      <c r="P282" s="12" t="n"/>
      <c r="Q282" s="12" t="n"/>
    </row>
    <row r="283" ht="15.6" customFormat="1" customHeight="1" s="8">
      <c r="A283" s="50" t="inlineStr">
        <is>
          <t>Reinforcing steel, at plant</t>
        </is>
      </c>
      <c r="B283" s="56" t="n">
        <v>836.2</v>
      </c>
      <c r="C283" s="50" t="inlineStr">
        <is>
          <t>Reinforcing steel, at plant</t>
        </is>
      </c>
      <c r="D283" s="50" t="inlineStr">
        <is>
          <t>RER</t>
        </is>
      </c>
      <c r="E283" s="50" t="inlineStr">
        <is>
          <t>kilogram</t>
        </is>
      </c>
      <c r="F283" s="50" t="n"/>
      <c r="G283" s="50" t="inlineStr">
        <is>
          <t>technosphere</t>
        </is>
      </c>
      <c r="H283" s="50" t="inlineStr">
        <is>
          <t>bafu</t>
        </is>
      </c>
      <c r="I283" s="51" t="inlineStr">
        <is>
          <t>water cooling plant for electrolyzer</t>
        </is>
      </c>
      <c r="L283" s="12" t="n"/>
      <c r="M283" s="12" t="n"/>
      <c r="N283" s="12" t="n"/>
      <c r="O283" s="12" t="n"/>
      <c r="P283" s="12" t="n"/>
      <c r="Q283" s="12" t="n"/>
    </row>
    <row r="284" ht="15.6" customFormat="1" customHeight="1" s="8">
      <c r="A284" s="50" t="inlineStr">
        <is>
          <t>Sheet rolling, steel</t>
        </is>
      </c>
      <c r="B284" s="56" t="n">
        <v>836.2</v>
      </c>
      <c r="C284" s="50" t="inlineStr">
        <is>
          <t>Sheet rolling, steel</t>
        </is>
      </c>
      <c r="D284" s="50" t="inlineStr">
        <is>
          <t>RER</t>
        </is>
      </c>
      <c r="E284" s="50" t="inlineStr">
        <is>
          <t>kilogram</t>
        </is>
      </c>
      <c r="F284" s="50" t="n"/>
      <c r="G284" s="50" t="inlineStr">
        <is>
          <t>technosphere</t>
        </is>
      </c>
      <c r="H284" s="50" t="inlineStr">
        <is>
          <t>bafu</t>
        </is>
      </c>
      <c r="I284" s="51" t="inlineStr">
        <is>
          <t>water cooling plant for electrolyzer</t>
        </is>
      </c>
      <c r="L284" s="12" t="n"/>
      <c r="M284" s="12" t="n"/>
      <c r="N284" s="12" t="n"/>
      <c r="O284" s="12" t="n"/>
      <c r="P284" s="12" t="n"/>
      <c r="Q284" s="12" t="n"/>
    </row>
    <row r="285" ht="15.6" customFormat="1" customHeight="1" s="8">
      <c r="A285" s="50" t="inlineStr">
        <is>
          <t>Cast iron, at plant</t>
        </is>
      </c>
      <c r="B285" s="56" t="n">
        <v>116.1</v>
      </c>
      <c r="C285" s="50" t="inlineStr">
        <is>
          <t>Cast iron, at plant</t>
        </is>
      </c>
      <c r="D285" s="50" t="inlineStr">
        <is>
          <t>RER</t>
        </is>
      </c>
      <c r="E285" s="50" t="inlineStr">
        <is>
          <t>kilogram</t>
        </is>
      </c>
      <c r="F285" s="50" t="n"/>
      <c r="G285" s="50" t="inlineStr">
        <is>
          <t>technosphere</t>
        </is>
      </c>
      <c r="H285" s="50" t="inlineStr">
        <is>
          <t>bafu</t>
        </is>
      </c>
      <c r="I285" s="51" t="inlineStr">
        <is>
          <t>pumps and coolers</t>
        </is>
      </c>
      <c r="L285" s="12" t="n"/>
      <c r="M285" s="12" t="n"/>
      <c r="N285" s="12" t="n"/>
      <c r="O285" s="12" t="n"/>
      <c r="P285" s="12" t="n"/>
      <c r="Q285" s="12" t="n"/>
    </row>
    <row r="286" ht="15.6" customFormat="1" customHeight="1" s="8">
      <c r="A286" s="50" t="inlineStr">
        <is>
          <t>Reinforcing steel, at plant</t>
        </is>
      </c>
      <c r="B286" s="56" t="n">
        <v>209.1</v>
      </c>
      <c r="C286" s="50" t="inlineStr">
        <is>
          <t>Reinforcing steel, at plant</t>
        </is>
      </c>
      <c r="D286" s="50" t="inlineStr">
        <is>
          <t>RER</t>
        </is>
      </c>
      <c r="E286" s="50" t="inlineStr">
        <is>
          <t>kilogram</t>
        </is>
      </c>
      <c r="F286" s="50" t="n"/>
      <c r="G286" s="50" t="inlineStr">
        <is>
          <t>technosphere</t>
        </is>
      </c>
      <c r="H286" s="50" t="inlineStr">
        <is>
          <t>bafu</t>
        </is>
      </c>
      <c r="I286" s="51" t="inlineStr">
        <is>
          <t>pumps and coolers</t>
        </is>
      </c>
      <c r="L286" s="12" t="n"/>
      <c r="M286" s="12" t="n"/>
      <c r="N286" s="12" t="n"/>
      <c r="O286" s="12" t="n"/>
      <c r="P286" s="12" t="n"/>
      <c r="Q286" s="12" t="n"/>
    </row>
    <row r="287" ht="15.6" customFormat="1" customHeight="1" s="8">
      <c r="A287" s="50" t="inlineStr">
        <is>
          <t>Sheet rolling, steel</t>
        </is>
      </c>
      <c r="B287" s="56" t="n">
        <v>209.1</v>
      </c>
      <c r="C287" s="50" t="inlineStr">
        <is>
          <t>Sheet rolling, steel</t>
        </is>
      </c>
      <c r="D287" s="50" t="inlineStr">
        <is>
          <t>RER</t>
        </is>
      </c>
      <c r="E287" s="50" t="inlineStr">
        <is>
          <t>kilogram</t>
        </is>
      </c>
      <c r="F287" s="50" t="n"/>
      <c r="G287" s="50" t="inlineStr">
        <is>
          <t>technosphere</t>
        </is>
      </c>
      <c r="H287" s="50" t="inlineStr">
        <is>
          <t>bafu</t>
        </is>
      </c>
      <c r="I287" s="51" t="inlineStr">
        <is>
          <t>pumps and coolers</t>
        </is>
      </c>
      <c r="L287" s="12" t="n"/>
      <c r="M287" s="12" t="n"/>
      <c r="N287" s="12" t="n"/>
      <c r="O287" s="12" t="n"/>
      <c r="P287" s="12" t="n"/>
      <c r="Q287" s="12" t="n"/>
    </row>
    <row r="288" ht="15.6" customFormat="1" customHeight="1" s="8">
      <c r="A288" s="50" t="inlineStr">
        <is>
          <t>Sheet rolling, chromium steel</t>
        </is>
      </c>
      <c r="B288" s="56" t="n">
        <v>1161.4</v>
      </c>
      <c r="C288" s="50" t="inlineStr">
        <is>
          <t>Sheet rolling, chromium steel</t>
        </is>
      </c>
      <c r="D288" s="50" t="inlineStr">
        <is>
          <t>RER</t>
        </is>
      </c>
      <c r="E288" s="50" t="inlineStr">
        <is>
          <t>kilogram</t>
        </is>
      </c>
      <c r="F288" s="50" t="n"/>
      <c r="G288" s="50" t="inlineStr">
        <is>
          <t>technosphere</t>
        </is>
      </c>
      <c r="H288" s="50" t="inlineStr">
        <is>
          <t>bafu</t>
        </is>
      </c>
      <c r="I288" s="51" t="inlineStr">
        <is>
          <t>heat exchanger</t>
        </is>
      </c>
      <c r="L288" s="12" t="n"/>
      <c r="M288" s="12" t="n"/>
      <c r="N288" s="12" t="n"/>
      <c r="O288" s="12" t="n"/>
      <c r="P288" s="12" t="n"/>
      <c r="Q288" s="12" t="n"/>
    </row>
    <row r="289" ht="15.6" customFormat="1" customHeight="1" s="8">
      <c r="A289" s="50" t="inlineStr">
        <is>
          <t>Chromium steel 18/8, at plant</t>
        </is>
      </c>
      <c r="B289" s="56" t="n">
        <v>1161.4</v>
      </c>
      <c r="C289" s="50" t="inlineStr">
        <is>
          <t>Chromium steel 18/8, at plant</t>
        </is>
      </c>
      <c r="D289" s="50" t="inlineStr">
        <is>
          <t>RER</t>
        </is>
      </c>
      <c r="E289" s="50" t="inlineStr">
        <is>
          <t>kilogram</t>
        </is>
      </c>
      <c r="F289" s="50" t="n"/>
      <c r="G289" s="50" t="inlineStr">
        <is>
          <t>technosphere</t>
        </is>
      </c>
      <c r="H289" s="50" t="inlineStr">
        <is>
          <t>bafu</t>
        </is>
      </c>
      <c r="I289" s="51" t="inlineStr">
        <is>
          <t>heat exchanger</t>
        </is>
      </c>
      <c r="L289" s="12" t="n"/>
      <c r="M289" s="12" t="n"/>
      <c r="N289" s="12" t="n"/>
      <c r="O289" s="12" t="n"/>
      <c r="P289" s="12" t="n"/>
      <c r="Q289" s="12" t="n"/>
    </row>
    <row r="290" ht="15.6" customFormat="1" customHeight="1" s="8">
      <c r="A290" s="50" t="inlineStr">
        <is>
          <t>Reinforcing steel, at plant</t>
        </is>
      </c>
      <c r="B290" s="56" t="n">
        <v>80</v>
      </c>
      <c r="C290" s="50" t="inlineStr">
        <is>
          <t>Reinforcing steel, at plant</t>
        </is>
      </c>
      <c r="D290" s="50" t="inlineStr">
        <is>
          <t>RER</t>
        </is>
      </c>
      <c r="E290" s="50" t="inlineStr">
        <is>
          <t>kilogram</t>
        </is>
      </c>
      <c r="F290" s="50" t="n"/>
      <c r="G290" s="50" t="inlineStr">
        <is>
          <t>technosphere</t>
        </is>
      </c>
      <c r="H290" s="50" t="inlineStr">
        <is>
          <t>bafu</t>
        </is>
      </c>
      <c r="I290" s="51" t="inlineStr">
        <is>
          <t>gas separator</t>
        </is>
      </c>
      <c r="L290" s="12" t="n"/>
      <c r="M290" s="12" t="n"/>
      <c r="N290" s="12" t="n"/>
      <c r="O290" s="12" t="n"/>
      <c r="P290" s="12" t="n"/>
      <c r="Q290" s="12" t="n"/>
    </row>
    <row r="291" ht="15.6" customFormat="1" customHeight="1" s="8">
      <c r="A291" s="50" t="inlineStr">
        <is>
          <t>Sheet rolling, steel</t>
        </is>
      </c>
      <c r="B291" s="56" t="n">
        <v>80</v>
      </c>
      <c r="C291" s="50" t="inlineStr">
        <is>
          <t>Sheet rolling, steel</t>
        </is>
      </c>
      <c r="D291" s="50" t="inlineStr">
        <is>
          <t>RER</t>
        </is>
      </c>
      <c r="E291" s="50" t="inlineStr">
        <is>
          <t>kilogram</t>
        </is>
      </c>
      <c r="F291" s="50" t="n"/>
      <c r="G291" s="50" t="inlineStr">
        <is>
          <t>technosphere</t>
        </is>
      </c>
      <c r="H291" s="50" t="inlineStr">
        <is>
          <t>bafu</t>
        </is>
      </c>
      <c r="I291" s="51" t="inlineStr">
        <is>
          <t>gas separator</t>
        </is>
      </c>
      <c r="L291" s="12" t="n"/>
      <c r="M291" s="12" t="n"/>
      <c r="N291" s="12" t="n"/>
      <c r="O291" s="12" t="n"/>
      <c r="P291" s="12" t="n"/>
      <c r="Q291" s="12" t="n"/>
    </row>
    <row r="292" ht="15.6" customFormat="1" customHeight="1" s="8">
      <c r="A292" s="50" t="inlineStr">
        <is>
          <t>Sheet rolling, chromium steel</t>
        </is>
      </c>
      <c r="B292" s="56" t="n">
        <v>851</v>
      </c>
      <c r="C292" s="50" t="inlineStr">
        <is>
          <t>Sheet rolling, chromium steel</t>
        </is>
      </c>
      <c r="D292" s="50" t="inlineStr">
        <is>
          <t>RER</t>
        </is>
      </c>
      <c r="E292" s="50" t="inlineStr">
        <is>
          <t>kilogram</t>
        </is>
      </c>
      <c r="F292" s="50" t="n"/>
      <c r="G292" s="50" t="inlineStr">
        <is>
          <t>technosphere</t>
        </is>
      </c>
      <c r="H292" s="50" t="inlineStr">
        <is>
          <t>bafu</t>
        </is>
      </c>
      <c r="I292" s="51" t="inlineStr">
        <is>
          <t>steel tank for KOH</t>
        </is>
      </c>
      <c r="L292" s="12" t="n"/>
      <c r="M292" s="12" t="n"/>
      <c r="N292" s="12" t="n"/>
      <c r="O292" s="12" t="n"/>
      <c r="P292" s="12" t="n"/>
      <c r="Q292" s="12" t="n"/>
    </row>
    <row r="293" ht="15.6" customFormat="1" customHeight="1" s="8">
      <c r="A293" s="50" t="inlineStr">
        <is>
          <t>Chromium steel 18/8, at plant</t>
        </is>
      </c>
      <c r="B293" s="56" t="n">
        <v>851</v>
      </c>
      <c r="C293" s="50" t="inlineStr">
        <is>
          <t>Chromium steel 18/8, at plant</t>
        </is>
      </c>
      <c r="D293" s="50" t="inlineStr">
        <is>
          <t>RER</t>
        </is>
      </c>
      <c r="E293" s="50" t="inlineStr">
        <is>
          <t>kilogram</t>
        </is>
      </c>
      <c r="F293" s="50" t="n"/>
      <c r="G293" s="50" t="inlineStr">
        <is>
          <t>technosphere</t>
        </is>
      </c>
      <c r="H293" s="50" t="inlineStr">
        <is>
          <t>bafu</t>
        </is>
      </c>
      <c r="I293" s="51" t="inlineStr">
        <is>
          <t>steel tank for KOH</t>
        </is>
      </c>
      <c r="L293" s="12" t="n"/>
      <c r="M293" s="12" t="n"/>
      <c r="N293" s="12" t="n"/>
      <c r="O293" s="12" t="n"/>
      <c r="P293" s="12" t="n"/>
      <c r="Q293" s="12" t="n"/>
    </row>
    <row r="294" ht="15.6" customFormat="1" customHeight="1" s="8">
      <c r="A294" s="50" t="inlineStr">
        <is>
          <t>Polypropylene, granulate, at plant</t>
        </is>
      </c>
      <c r="B294" s="56" t="n">
        <v>3</v>
      </c>
      <c r="C294" s="50" t="inlineStr">
        <is>
          <t>Polypropylene, granulate, at plant</t>
        </is>
      </c>
      <c r="D294" s="50" t="inlineStr">
        <is>
          <t>RER</t>
        </is>
      </c>
      <c r="E294" s="50" t="inlineStr">
        <is>
          <t>kilogram</t>
        </is>
      </c>
      <c r="F294" s="50" t="n"/>
      <c r="G294" s="50" t="inlineStr">
        <is>
          <t>technosphere</t>
        </is>
      </c>
      <c r="H294" s="50" t="inlineStr">
        <is>
          <t>bafu</t>
        </is>
      </c>
      <c r="I294" s="51" t="inlineStr">
        <is>
          <t>alkali-resistant rotary pump</t>
        </is>
      </c>
      <c r="L294" s="12" t="n"/>
      <c r="M294" s="12" t="n"/>
      <c r="N294" s="12" t="n"/>
      <c r="O294" s="12" t="n"/>
      <c r="P294" s="12" t="n"/>
      <c r="Q294" s="12" t="n"/>
    </row>
    <row r="295" ht="15.6" customFormat="1" customHeight="1" s="8">
      <c r="A295" s="50" t="inlineStr">
        <is>
          <t>Injection moulding</t>
        </is>
      </c>
      <c r="B295" s="56" t="n">
        <v>3</v>
      </c>
      <c r="C295" s="50" t="inlineStr">
        <is>
          <t>Injection moulding</t>
        </is>
      </c>
      <c r="D295" s="50" t="inlineStr">
        <is>
          <t>RER</t>
        </is>
      </c>
      <c r="E295" s="50" t="inlineStr">
        <is>
          <t>kilogram</t>
        </is>
      </c>
      <c r="F295" s="50" t="n"/>
      <c r="G295" s="50" t="inlineStr">
        <is>
          <t>technosphere</t>
        </is>
      </c>
      <c r="H295" s="50" t="inlineStr">
        <is>
          <t>bafu</t>
        </is>
      </c>
      <c r="I295" s="51" t="inlineStr">
        <is>
          <t>alkali-resistant rotary pump</t>
        </is>
      </c>
      <c r="L295" s="12" t="n"/>
      <c r="M295" s="12" t="n"/>
      <c r="N295" s="12" t="n"/>
      <c r="O295" s="12" t="n"/>
      <c r="P295" s="12" t="n"/>
      <c r="Q295" s="12" t="n"/>
    </row>
    <row r="296" ht="15.6" customFormat="1" customHeight="1" s="8">
      <c r="A296" s="50" t="inlineStr">
        <is>
          <t>Sheet rolling, chromium steel</t>
        </is>
      </c>
      <c r="B296" s="56" t="n">
        <v>1108</v>
      </c>
      <c r="C296" s="50" t="inlineStr">
        <is>
          <t>Sheet rolling, chromium steel</t>
        </is>
      </c>
      <c r="D296" s="50" t="inlineStr">
        <is>
          <t>RER</t>
        </is>
      </c>
      <c r="E296" s="50" t="inlineStr">
        <is>
          <t>kilogram</t>
        </is>
      </c>
      <c r="F296" s="50" t="n"/>
      <c r="G296" s="50" t="inlineStr">
        <is>
          <t>technosphere</t>
        </is>
      </c>
      <c r="H296" s="50" t="inlineStr">
        <is>
          <t>bafu</t>
        </is>
      </c>
      <c r="I296" s="51" t="inlineStr">
        <is>
          <t>storage tank</t>
        </is>
      </c>
      <c r="L296" s="12" t="n"/>
      <c r="M296" s="12" t="n"/>
      <c r="N296" s="12" t="n"/>
      <c r="O296" s="12" t="n"/>
      <c r="P296" s="12" t="n"/>
      <c r="Q296" s="12" t="n"/>
    </row>
    <row r="297" ht="15.6" customFormat="1" customHeight="1" s="8">
      <c r="A297" s="50" t="inlineStr">
        <is>
          <t>Chromium steel 18/8, at plant</t>
        </is>
      </c>
      <c r="B297" s="56" t="n">
        <v>1108</v>
      </c>
      <c r="C297" s="50" t="inlineStr">
        <is>
          <t>Chromium steel 18/8, at plant</t>
        </is>
      </c>
      <c r="D297" s="50" t="inlineStr">
        <is>
          <t>RER</t>
        </is>
      </c>
      <c r="E297" s="50" t="inlineStr">
        <is>
          <t>kilogram</t>
        </is>
      </c>
      <c r="F297" s="50" t="n"/>
      <c r="G297" s="50" t="inlineStr">
        <is>
          <t>technosphere</t>
        </is>
      </c>
      <c r="H297" s="50" t="inlineStr">
        <is>
          <t>bafu</t>
        </is>
      </c>
      <c r="I297" s="51" t="inlineStr">
        <is>
          <t>storage tank</t>
        </is>
      </c>
      <c r="L297" s="12" t="n"/>
      <c r="M297" s="12" t="n"/>
      <c r="N297" s="12" t="n"/>
      <c r="O297" s="12" t="n"/>
      <c r="P297" s="12" t="n"/>
      <c r="Q297" s="12" t="n"/>
    </row>
    <row r="298" ht="15.6" customFormat="1" customHeight="1" s="8">
      <c r="A298" s="50" t="inlineStr">
        <is>
          <t>Welding, arc, steel</t>
        </is>
      </c>
      <c r="B298" s="56" t="n">
        <v>29</v>
      </c>
      <c r="C298" s="50" t="inlineStr">
        <is>
          <t>Welding, arc, steel</t>
        </is>
      </c>
      <c r="D298" s="50" t="inlineStr">
        <is>
          <t>RER</t>
        </is>
      </c>
      <c r="E298" s="50" t="inlineStr">
        <is>
          <t>meter</t>
        </is>
      </c>
      <c r="F298" s="50" t="n"/>
      <c r="G298" s="50" t="inlineStr">
        <is>
          <t>technosphere</t>
        </is>
      </c>
      <c r="H298" s="50" t="inlineStr">
        <is>
          <t>bafu</t>
        </is>
      </c>
      <c r="I298" s="51" t="inlineStr">
        <is>
          <t>buffer tank</t>
        </is>
      </c>
      <c r="L298" s="12" t="n"/>
      <c r="M298" s="12" t="n"/>
      <c r="N298" s="12" t="n"/>
      <c r="O298" s="12" t="n"/>
      <c r="P298" s="12" t="n"/>
      <c r="Q298" s="12" t="n"/>
    </row>
    <row r="299" ht="15.6" customFormat="1" customHeight="1" s="8">
      <c r="A299" s="50" t="inlineStr">
        <is>
          <t>Sheet rolling, steel</t>
        </is>
      </c>
      <c r="B299" s="56" t="n">
        <v>6075.6</v>
      </c>
      <c r="C299" s="50" t="inlineStr">
        <is>
          <t>Sheet rolling, steel</t>
        </is>
      </c>
      <c r="D299" s="50" t="inlineStr">
        <is>
          <t>RER</t>
        </is>
      </c>
      <c r="E299" s="50" t="inlineStr">
        <is>
          <t>kilogram</t>
        </is>
      </c>
      <c r="F299" s="50" t="n"/>
      <c r="G299" s="50" t="inlineStr">
        <is>
          <t>technosphere</t>
        </is>
      </c>
      <c r="H299" s="50" t="inlineStr">
        <is>
          <t>bafu</t>
        </is>
      </c>
      <c r="I299" s="51" t="inlineStr">
        <is>
          <t>container</t>
        </is>
      </c>
      <c r="L299" s="12" t="n"/>
      <c r="M299" s="12" t="n"/>
      <c r="N299" s="12" t="n"/>
      <c r="O299" s="12" t="n"/>
      <c r="P299" s="12" t="n"/>
      <c r="Q299" s="12" t="n"/>
    </row>
    <row r="300" ht="15.6" customFormat="1" customHeight="1" s="8">
      <c r="A300" s="62" t="inlineStr">
        <is>
          <t>Steel, low-alloyed, at plant</t>
        </is>
      </c>
      <c r="B300" s="56" t="n">
        <v>6075.6</v>
      </c>
      <c r="C300" s="51" t="inlineStr">
        <is>
          <t>Steel, low-alloyed, at plant</t>
        </is>
      </c>
      <c r="D300" s="50" t="inlineStr">
        <is>
          <t>RER</t>
        </is>
      </c>
      <c r="E300" s="50" t="inlineStr">
        <is>
          <t>kilogram</t>
        </is>
      </c>
      <c r="F300" s="50" t="n"/>
      <c r="G300" s="50" t="inlineStr">
        <is>
          <t>technosphere</t>
        </is>
      </c>
      <c r="H300" s="50" t="inlineStr">
        <is>
          <t>bafu</t>
        </is>
      </c>
      <c r="I300" s="51" t="inlineStr">
        <is>
          <t>container</t>
        </is>
      </c>
      <c r="L300" s="12" t="n"/>
      <c r="M300" s="12" t="n"/>
      <c r="N300" s="12" t="n"/>
      <c r="O300" s="12" t="n"/>
      <c r="P300" s="12" t="n"/>
      <c r="Q300" s="12" t="n"/>
    </row>
    <row r="301" ht="15.6" customFormat="1" customHeight="1" s="8">
      <c r="A301" s="50" t="inlineStr">
        <is>
          <t>Concrete, normal, at plant</t>
        </is>
      </c>
      <c r="B301" s="87" t="n">
        <v>7.7</v>
      </c>
      <c r="C301" s="51" t="inlineStr">
        <is>
          <t>Concrete, normal, at plant</t>
        </is>
      </c>
      <c r="D301" s="50" t="inlineStr">
        <is>
          <t>CH</t>
        </is>
      </c>
      <c r="E301" s="51" t="inlineStr">
        <is>
          <t>cubic meter</t>
        </is>
      </c>
      <c r="F301" s="50" t="n"/>
      <c r="G301" s="50" t="inlineStr">
        <is>
          <t>technosphere</t>
        </is>
      </c>
      <c r="H301" s="50" t="inlineStr">
        <is>
          <t>bafu</t>
        </is>
      </c>
      <c r="I301" s="51" t="inlineStr">
        <is>
          <t>foundation concrete</t>
        </is>
      </c>
      <c r="L301" s="12" t="n"/>
      <c r="M301" s="12" t="n"/>
      <c r="N301" s="12" t="n"/>
      <c r="O301" s="12" t="n"/>
      <c r="P301" s="12" t="n"/>
      <c r="Q301" s="12" t="n"/>
    </row>
    <row r="302" ht="15.6" customFormat="1" customHeight="1" s="8">
      <c r="A302" s="50" t="inlineStr">
        <is>
          <t>Electricity, low voltage, at grid</t>
        </is>
      </c>
      <c r="B302" s="56" t="n">
        <v>37113.5</v>
      </c>
      <c r="C302" s="51" t="inlineStr">
        <is>
          <t>Electricity, low voltage, at grid</t>
        </is>
      </c>
      <c r="D302" s="50" t="inlineStr">
        <is>
          <t>GLO</t>
        </is>
      </c>
      <c r="E302" s="50" t="inlineStr">
        <is>
          <t>kilowatt hour</t>
        </is>
      </c>
      <c r="F302" s="50" t="n"/>
      <c r="G302" s="50" t="inlineStr">
        <is>
          <t>technosphere</t>
        </is>
      </c>
      <c r="H302" s="50" t="inlineStr">
        <is>
          <t>bafu</t>
        </is>
      </c>
      <c r="I302" s="50" t="inlineStr">
        <is>
          <t>assembly energy</t>
        </is>
      </c>
      <c r="L302" s="12" t="n"/>
      <c r="M302" s="12" t="n"/>
      <c r="N302" s="12" t="n"/>
      <c r="O302" s="12" t="n"/>
      <c r="P302" s="12" t="n"/>
      <c r="Q302" s="12" t="n"/>
    </row>
    <row r="303" ht="15" customFormat="1" customHeight="1" s="8">
      <c r="B303" s="9" t="n"/>
      <c r="C303" s="7" t="n"/>
      <c r="D303" s="7" t="n"/>
      <c r="G303" s="7" t="n"/>
      <c r="H303" s="7" t="n"/>
      <c r="I303" s="7" t="n"/>
      <c r="J303" s="7" t="n"/>
      <c r="L303" s="9" t="n"/>
      <c r="M303" s="9" t="n"/>
      <c r="N303" s="9" t="n"/>
      <c r="O303" s="9" t="n"/>
      <c r="P303" s="9" t="n"/>
      <c r="Q303" s="9" t="n"/>
    </row>
    <row r="304" ht="15.6" customFormat="1" customHeight="1" s="8">
      <c r="A304" s="49" t="inlineStr">
        <is>
          <t>Activity</t>
        </is>
      </c>
      <c r="B304" s="84" t="inlineStr">
        <is>
          <t>treatment of fuel cell balance of plant, 1MWe, AEC</t>
        </is>
      </c>
      <c r="C304" s="50" t="n"/>
      <c r="D304" s="50" t="n"/>
      <c r="E304" s="50" t="n"/>
      <c r="F304" s="50" t="n"/>
      <c r="G304" s="50" t="n"/>
      <c r="H304" s="50" t="n"/>
      <c r="I304" s="50" t="n"/>
      <c r="L304" s="9" t="n"/>
      <c r="M304" s="9" t="n"/>
      <c r="N304" s="9" t="n"/>
      <c r="O304" s="9" t="n"/>
      <c r="P304" s="9" t="n"/>
      <c r="Q304" s="9" t="n"/>
    </row>
    <row r="305" ht="15" customFormat="1" customHeight="1" s="8">
      <c r="A305" s="52" t="inlineStr">
        <is>
          <t>production amount</t>
        </is>
      </c>
      <c r="B305" s="85" t="n">
        <v>1</v>
      </c>
      <c r="C305" s="50" t="n"/>
      <c r="D305" s="50" t="n"/>
      <c r="E305" s="50" t="n"/>
      <c r="F305" s="50" t="n"/>
      <c r="G305" s="50" t="n"/>
      <c r="H305" s="50" t="n"/>
      <c r="I305" s="50" t="n"/>
      <c r="L305" s="9" t="n"/>
      <c r="M305" s="9" t="n"/>
      <c r="N305" s="9" t="n"/>
      <c r="O305" s="9" t="n"/>
      <c r="P305" s="9" t="n"/>
      <c r="Q305" s="9" t="n"/>
    </row>
    <row r="306" ht="15" customFormat="1" customHeight="1" s="8">
      <c r="A306" s="52" t="inlineStr">
        <is>
          <t>comment</t>
        </is>
      </c>
      <c r="B306" s="85" t="inlineStr">
        <is>
          <t>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 Values have already been multiplied by 3 to reflect 2 stack replacements over 20 years of use.</t>
        </is>
      </c>
      <c r="C306" s="50" t="n"/>
      <c r="D306" s="50" t="n"/>
      <c r="E306" s="50" t="n"/>
      <c r="F306" s="50" t="n"/>
      <c r="G306" s="50" t="n"/>
      <c r="H306" s="50" t="n"/>
      <c r="I306" s="50" t="n"/>
      <c r="L306" s="9" t="n"/>
      <c r="M306" s="9" t="n"/>
      <c r="N306" s="9" t="n"/>
      <c r="O306" s="9" t="n"/>
      <c r="P306" s="9" t="n"/>
      <c r="Q306" s="9" t="n"/>
    </row>
    <row r="307" ht="15" customFormat="1" customHeight="1" s="8">
      <c r="A307" s="52" t="inlineStr">
        <is>
          <t>reference product</t>
        </is>
      </c>
      <c r="B307" s="56" t="inlineStr">
        <is>
          <t>used fuel cell balance of plant, 1MWe, AEC</t>
        </is>
      </c>
      <c r="C307" s="50" t="n"/>
      <c r="D307" s="50" t="n"/>
      <c r="E307" s="50" t="n"/>
      <c r="F307" s="50" t="n"/>
      <c r="G307" s="50" t="n"/>
      <c r="H307" s="50" t="n"/>
      <c r="I307" s="50" t="n"/>
      <c r="L307" s="9" t="n"/>
      <c r="M307" s="9" t="n"/>
      <c r="N307" s="9" t="n"/>
      <c r="O307" s="9" t="n"/>
      <c r="P307" s="9" t="n"/>
      <c r="Q307" s="9" t="n"/>
    </row>
    <row r="308" ht="15" customFormat="1" customHeight="1" s="8">
      <c r="A308" s="52" t="inlineStr">
        <is>
          <t>location</t>
        </is>
      </c>
      <c r="B308" s="85" t="inlineStr">
        <is>
          <t>RER</t>
        </is>
      </c>
      <c r="C308" s="50" t="n"/>
      <c r="D308" s="50" t="n"/>
      <c r="E308" s="50" t="n"/>
      <c r="F308" s="50" t="n"/>
      <c r="G308" s="50" t="n"/>
      <c r="H308" s="50" t="n"/>
      <c r="I308" s="50" t="n"/>
      <c r="L308" s="9" t="n"/>
      <c r="M308" s="9" t="n"/>
      <c r="N308" s="9" t="n"/>
      <c r="O308" s="9" t="n"/>
      <c r="P308" s="9" t="n"/>
      <c r="Q308" s="9" t="n"/>
    </row>
    <row r="309" ht="15" customFormat="1" customHeight="1" s="8">
      <c r="A309" s="52" t="inlineStr">
        <is>
          <t>unit</t>
        </is>
      </c>
      <c r="B309" s="56" t="inlineStr">
        <is>
          <t>unit</t>
        </is>
      </c>
      <c r="C309" s="50" t="n"/>
      <c r="D309" s="50" t="n"/>
      <c r="E309" s="50" t="n"/>
      <c r="F309" s="50" t="n"/>
      <c r="G309" s="50" t="n"/>
      <c r="H309" s="50" t="n"/>
      <c r="I309" s="50" t="n"/>
      <c r="L309" s="9" t="n"/>
      <c r="M309" s="9" t="n"/>
      <c r="N309" s="9" t="n"/>
      <c r="O309" s="9" t="n"/>
      <c r="P309" s="9" t="n"/>
      <c r="Q309" s="9" t="n"/>
    </row>
    <row r="310" ht="15.6" customFormat="1" customHeight="1" s="8">
      <c r="A310" s="54" t="inlineStr">
        <is>
          <t>Exchanges</t>
        </is>
      </c>
      <c r="B310" s="84" t="n"/>
      <c r="C310" s="54" t="n"/>
      <c r="D310" s="54" t="n"/>
      <c r="E310" s="54" t="n"/>
      <c r="F310" s="54" t="n"/>
      <c r="G310" s="54" t="n"/>
      <c r="H310" s="54" t="n"/>
      <c r="I310" s="54" t="n"/>
      <c r="J310" s="10" t="n"/>
      <c r="K310" s="10" t="n"/>
      <c r="L310" s="9" t="n"/>
      <c r="M310" s="9" t="n"/>
      <c r="N310" s="9" t="n"/>
      <c r="O310" s="9" t="n"/>
      <c r="P310" s="9" t="n"/>
      <c r="Q310" s="9" t="n"/>
    </row>
    <row r="311" ht="15.6" customFormat="1" customHeight="1" s="8">
      <c r="A311" s="54" t="inlineStr">
        <is>
          <t>name</t>
        </is>
      </c>
      <c r="B311" s="84" t="inlineStr">
        <is>
          <t>amount</t>
        </is>
      </c>
      <c r="C311" s="54" t="inlineStr">
        <is>
          <t>reference product</t>
        </is>
      </c>
      <c r="D311" s="54" t="inlineStr">
        <is>
          <t>location</t>
        </is>
      </c>
      <c r="E311" s="54" t="inlineStr">
        <is>
          <t>unit</t>
        </is>
      </c>
      <c r="F311" s="55" t="inlineStr">
        <is>
          <t>categories</t>
        </is>
      </c>
      <c r="G311" s="54" t="inlineStr">
        <is>
          <t>type</t>
        </is>
      </c>
      <c r="H311" s="53" t="inlineStr">
        <is>
          <t>database</t>
        </is>
      </c>
      <c r="I311" s="55" t="inlineStr">
        <is>
          <t>comment</t>
        </is>
      </c>
      <c r="J311" s="10" t="n"/>
      <c r="K311" s="6" t="n"/>
      <c r="L311" s="11" t="n"/>
      <c r="M311" s="11" t="n"/>
      <c r="N311" s="11" t="n"/>
      <c r="O311" s="11" t="n"/>
      <c r="P311" s="11" t="n"/>
      <c r="Q311" s="11" t="n"/>
      <c r="R311" s="6" t="n"/>
      <c r="S311" s="6" t="n"/>
      <c r="T311" s="10" t="n"/>
      <c r="U311" s="6" t="n"/>
    </row>
    <row r="312" ht="15" customFormat="1" customHeight="1" s="8">
      <c r="A312" s="53" t="inlineStr">
        <is>
          <t>treatment of fuel cell balance of plant, 1MWe, AEC</t>
        </is>
      </c>
      <c r="B312" s="56" t="n">
        <v>-1</v>
      </c>
      <c r="C312" s="50" t="inlineStr">
        <is>
          <t>used fuel cell balance of plant, 1MWe, AEC</t>
        </is>
      </c>
      <c r="D312" s="50" t="inlineStr">
        <is>
          <t>RER</t>
        </is>
      </c>
      <c r="E312" s="50" t="inlineStr">
        <is>
          <t>unit</t>
        </is>
      </c>
      <c r="F312" s="50" t="n"/>
      <c r="G312" s="50" t="inlineStr">
        <is>
          <t>production</t>
        </is>
      </c>
      <c r="H312" s="53" t="inlineStr">
        <is>
          <t>h2_electrolysis</t>
        </is>
      </c>
      <c r="I312" s="50" t="n"/>
      <c r="L312" s="9" t="n"/>
      <c r="M312" s="9" t="n"/>
      <c r="N312" s="9" t="n"/>
      <c r="O312" s="9" t="n"/>
      <c r="P312" s="9" t="n"/>
      <c r="Q312" s="9" t="n"/>
    </row>
    <row r="313" ht="15.6" customFormat="1" customHeight="1" s="8">
      <c r="A313" s="53" t="inlineStr">
        <is>
          <t>Iron scrap, at plant</t>
        </is>
      </c>
      <c r="B313" s="56" t="n">
        <v>-12819.5</v>
      </c>
      <c r="C313" s="50" t="inlineStr">
        <is>
          <t>Iron scrap, at plant</t>
        </is>
      </c>
      <c r="D313" s="50" t="inlineStr">
        <is>
          <t>RER</t>
        </is>
      </c>
      <c r="E313" s="50" t="inlineStr">
        <is>
          <t>kilogram</t>
        </is>
      </c>
      <c r="F313" s="50" t="n"/>
      <c r="G313" s="50" t="inlineStr">
        <is>
          <t>technosphere</t>
        </is>
      </c>
      <c r="H313" s="50" t="inlineStr">
        <is>
          <t>bafu</t>
        </is>
      </c>
      <c r="I313" s="50" t="n"/>
      <c r="L313" s="12" t="n"/>
      <c r="M313" s="12" t="n"/>
      <c r="N313" s="12" t="n"/>
      <c r="O313" s="12" t="n"/>
      <c r="P313" s="12" t="n"/>
      <c r="Q313" s="12" t="n"/>
    </row>
    <row r="314" ht="15.6" customFormat="1" customHeight="1" s="8">
      <c r="A314" s="53" t="inlineStr">
        <is>
          <t>Disposal, building, reinforcement steel, to sorting plant</t>
        </is>
      </c>
      <c r="B314" s="56" t="n">
        <v>-5134.4</v>
      </c>
      <c r="C314" s="53" t="inlineStr">
        <is>
          <t>Disposal, building, reinforcement steel, to sorting plant</t>
        </is>
      </c>
      <c r="D314" s="50" t="inlineStr">
        <is>
          <t>CH</t>
        </is>
      </c>
      <c r="E314" s="50" t="inlineStr">
        <is>
          <t>kilogram</t>
        </is>
      </c>
      <c r="F314" s="50" t="n"/>
      <c r="G314" s="50" t="inlineStr">
        <is>
          <t>technosphere</t>
        </is>
      </c>
      <c r="H314" s="50" t="inlineStr">
        <is>
          <t>bafu</t>
        </is>
      </c>
      <c r="I314" s="50" t="n"/>
      <c r="L314" s="12" t="n"/>
      <c r="M314" s="12" t="n"/>
      <c r="N314" s="12" t="n"/>
      <c r="O314" s="12" t="n"/>
      <c r="P314" s="12" t="n"/>
      <c r="Q314" s="12" t="n"/>
    </row>
    <row r="315" ht="15.6" customFormat="1" customHeight="1" s="8">
      <c r="A315" s="50" t="inlineStr">
        <is>
          <t>Aluminium scrap, old, at plant</t>
        </is>
      </c>
      <c r="B315" s="56" t="n">
        <v>-160</v>
      </c>
      <c r="C315" s="50" t="inlineStr">
        <is>
          <t>Aluminium scrap, old, at plant</t>
        </is>
      </c>
      <c r="D315" s="50" t="inlineStr">
        <is>
          <t>RER</t>
        </is>
      </c>
      <c r="E315" s="50" t="inlineStr">
        <is>
          <t>kilogram</t>
        </is>
      </c>
      <c r="F315" s="50" t="n"/>
      <c r="G315" s="50" t="inlineStr">
        <is>
          <t>technosphere</t>
        </is>
      </c>
      <c r="H315" s="50" t="inlineStr">
        <is>
          <t>bafu</t>
        </is>
      </c>
      <c r="I315" s="50" t="n"/>
      <c r="L315" s="12" t="n"/>
      <c r="M315" s="12" t="n"/>
      <c r="N315" s="12" t="n"/>
      <c r="O315" s="12" t="n"/>
      <c r="P315" s="12" t="n"/>
      <c r="Q315" s="12" t="n"/>
    </row>
    <row r="316" ht="15.6" customFormat="1" customHeight="1" s="8">
      <c r="A316" s="50" t="inlineStr">
        <is>
          <t>Disposal, plastic, industr. electronics, 15.3% water, to municipal incineration</t>
        </is>
      </c>
      <c r="B316" s="56" t="n">
        <v>-32</v>
      </c>
      <c r="C316" s="50" t="inlineStr">
        <is>
          <t>Disposal, plastic, industr. electronics, 15.3% water, to municipal incineration</t>
        </is>
      </c>
      <c r="D316" s="50" t="inlineStr">
        <is>
          <t>CH</t>
        </is>
      </c>
      <c r="E316" s="50" t="inlineStr">
        <is>
          <t>kilogram</t>
        </is>
      </c>
      <c r="F316" s="50" t="n"/>
      <c r="G316" s="50" t="inlineStr">
        <is>
          <t>technosphere</t>
        </is>
      </c>
      <c r="H316" s="50" t="inlineStr">
        <is>
          <t>bafu</t>
        </is>
      </c>
      <c r="I316" s="50" t="n"/>
      <c r="L316" s="12" t="n"/>
      <c r="M316" s="12" t="n"/>
      <c r="N316" s="12" t="n"/>
      <c r="O316" s="12" t="n"/>
      <c r="P316" s="12" t="n"/>
      <c r="Q316" s="12" t="n"/>
    </row>
    <row r="317" ht="15.6" customFormat="1" customHeight="1" s="8">
      <c r="A317" s="50" t="inlineStr">
        <is>
          <t>Disposal, treatment of printed wiring boards</t>
        </is>
      </c>
      <c r="B317" s="56" t="n">
        <v>-14</v>
      </c>
      <c r="C317" s="50" t="inlineStr">
        <is>
          <t>Disposal, treatment of printed wiring boards</t>
        </is>
      </c>
      <c r="D317" s="50" t="inlineStr">
        <is>
          <t>GLO</t>
        </is>
      </c>
      <c r="E317" s="50" t="inlineStr">
        <is>
          <t>kilogram</t>
        </is>
      </c>
      <c r="F317" s="50" t="n"/>
      <c r="G317" s="50" t="inlineStr">
        <is>
          <t>technosphere</t>
        </is>
      </c>
      <c r="H317" s="50" t="inlineStr">
        <is>
          <t>bafu</t>
        </is>
      </c>
      <c r="I317" s="50" t="n"/>
      <c r="L317" s="12" t="n"/>
      <c r="M317" s="12" t="n"/>
      <c r="N317" s="12" t="n"/>
      <c r="O317" s="12" t="n"/>
      <c r="P317" s="12" t="n"/>
      <c r="Q317" s="12" t="n"/>
    </row>
    <row r="318" ht="15.6" customFormat="1" customHeight="1" s="8">
      <c r="A318" s="50" t="inlineStr">
        <is>
          <t>Disposal, treatment of cables</t>
        </is>
      </c>
      <c r="B318" s="56" t="n">
        <v>-800</v>
      </c>
      <c r="C318" s="50" t="inlineStr">
        <is>
          <t>Disposal, treatment of cables</t>
        </is>
      </c>
      <c r="D318" s="50" t="inlineStr">
        <is>
          <t>GLO</t>
        </is>
      </c>
      <c r="E318" s="50" t="inlineStr">
        <is>
          <t>kilogram</t>
        </is>
      </c>
      <c r="F318" s="50" t="n"/>
      <c r="G318" s="50" t="inlineStr">
        <is>
          <t>technosphere</t>
        </is>
      </c>
      <c r="H318" s="50" t="inlineStr">
        <is>
          <t>bafu</t>
        </is>
      </c>
      <c r="I318" s="50" t="n"/>
      <c r="L318" s="12" t="n"/>
      <c r="M318" s="12" t="n"/>
      <c r="N318" s="12" t="n"/>
      <c r="O318" s="12" t="n"/>
      <c r="P318" s="12" t="n"/>
      <c r="Q318" s="12" t="n"/>
    </row>
    <row r="319" ht="15.6" customFormat="1" customHeight="1" s="8">
      <c r="A319" s="50" t="inlineStr">
        <is>
          <t>Disposal, polyethylene/polypropylene products, to municipal waste incineration</t>
        </is>
      </c>
      <c r="B319" s="56" t="n">
        <v>-468</v>
      </c>
      <c r="C319" s="50" t="inlineStr">
        <is>
          <t>Disposal, polyethylene/polypropylene products, to municipal waste incineration</t>
        </is>
      </c>
      <c r="D319" s="50" t="inlineStr">
        <is>
          <t>CH</t>
        </is>
      </c>
      <c r="E319" s="50" t="inlineStr">
        <is>
          <t>kilogram</t>
        </is>
      </c>
      <c r="F319" s="50" t="n"/>
      <c r="G319" s="50" t="inlineStr">
        <is>
          <t>technosphere</t>
        </is>
      </c>
      <c r="H319" s="50" t="inlineStr">
        <is>
          <t>bafu</t>
        </is>
      </c>
      <c r="I319" s="50" t="n"/>
      <c r="L319" s="12" t="n"/>
      <c r="M319" s="12" t="n"/>
      <c r="N319" s="12" t="n"/>
      <c r="O319" s="12" t="n"/>
      <c r="P319" s="12" t="n"/>
      <c r="Q319" s="12" t="n"/>
    </row>
    <row r="320" ht="15.6" customFormat="1" customHeight="1" s="8">
      <c r="A320" s="50" t="inlineStr">
        <is>
          <t>Disposal, building, bulk iron (excluding reinforcement), to sorting plant</t>
        </is>
      </c>
      <c r="B320" s="56" t="n">
        <v>-716</v>
      </c>
      <c r="C320" s="50" t="inlineStr">
        <is>
          <t>Disposal, building, bulk iron (excluding reinforcement), to sorting plant</t>
        </is>
      </c>
      <c r="D320" s="50" t="inlineStr">
        <is>
          <t>CH</t>
        </is>
      </c>
      <c r="E320" s="50" t="inlineStr">
        <is>
          <t>kilogram</t>
        </is>
      </c>
      <c r="F320" s="50" t="n"/>
      <c r="G320" s="50" t="inlineStr">
        <is>
          <t>technosphere</t>
        </is>
      </c>
      <c r="H320" s="50" t="inlineStr">
        <is>
          <t>bafu</t>
        </is>
      </c>
      <c r="I320" s="50" t="n"/>
      <c r="L320" s="12" t="n"/>
      <c r="M320" s="12" t="n"/>
      <c r="N320" s="12" t="n"/>
      <c r="O320" s="12" t="n"/>
      <c r="P320" s="12" t="n"/>
      <c r="Q320" s="12" t="n"/>
    </row>
    <row r="321" ht="15.6" customFormat="1" customHeight="1" s="8">
      <c r="A321" s="50" t="inlineStr">
        <is>
          <t>Copper, at regional storage</t>
        </is>
      </c>
      <c r="B321" s="56" t="n">
        <v>-617</v>
      </c>
      <c r="C321" s="50" t="inlineStr">
        <is>
          <t>Copper, at regional storage</t>
        </is>
      </c>
      <c r="D321" s="50" t="inlineStr">
        <is>
          <t>RER</t>
        </is>
      </c>
      <c r="E321" s="50" t="inlineStr">
        <is>
          <t>kilogram</t>
        </is>
      </c>
      <c r="F321" s="50" t="n"/>
      <c r="G321" s="50" t="inlineStr">
        <is>
          <t>technosphere</t>
        </is>
      </c>
      <c r="H321" s="50" t="inlineStr">
        <is>
          <t>bafu</t>
        </is>
      </c>
      <c r="I321" s="50" t="n"/>
      <c r="L321" s="12" t="n"/>
      <c r="M321" s="12" t="n"/>
      <c r="N321" s="12" t="n"/>
      <c r="O321" s="12" t="n"/>
      <c r="P321" s="12" t="n"/>
      <c r="Q321" s="12" t="n"/>
    </row>
    <row r="322" ht="15.6" customFormat="1" customHeight="1" s="8">
      <c r="A322" s="50" t="inlineStr">
        <is>
          <t>Disposal, plastics, mixture, 15.3% water, to municipal incineration</t>
        </is>
      </c>
      <c r="B322" s="56" t="n">
        <v>-208</v>
      </c>
      <c r="C322" s="50" t="inlineStr">
        <is>
          <t>Disposal, plastics, mixture, 15.3% water, to municipal incineration</t>
        </is>
      </c>
      <c r="D322" s="50" t="inlineStr">
        <is>
          <t>CH</t>
        </is>
      </c>
      <c r="E322" s="50" t="inlineStr">
        <is>
          <t>kilogram</t>
        </is>
      </c>
      <c r="F322" s="50" t="n"/>
      <c r="G322" s="50" t="inlineStr">
        <is>
          <t>technosphere</t>
        </is>
      </c>
      <c r="H322" s="50" t="inlineStr">
        <is>
          <t>bafu</t>
        </is>
      </c>
      <c r="I322" s="50" t="n"/>
      <c r="L322" s="12" t="n"/>
      <c r="M322" s="12" t="n"/>
      <c r="N322" s="12" t="n"/>
      <c r="O322" s="12" t="n"/>
      <c r="P322" s="12" t="n"/>
      <c r="Q322" s="12" t="n"/>
    </row>
    <row r="323" ht="15.6" customFormat="1" customHeight="1" s="8">
      <c r="A323" s="50" t="inlineStr">
        <is>
          <t>Disposal, building, concrete, not reinforced, to sorting plant</t>
        </is>
      </c>
      <c r="B323" s="56" t="n">
        <v>-18519</v>
      </c>
      <c r="C323" s="50" t="inlineStr">
        <is>
          <t>Disposal, building, concrete, not reinforced, to sorting plant</t>
        </is>
      </c>
      <c r="D323" s="50" t="inlineStr">
        <is>
          <t>CH</t>
        </is>
      </c>
      <c r="E323" s="50" t="inlineStr">
        <is>
          <t>kilogram</t>
        </is>
      </c>
      <c r="F323" s="50" t="n"/>
      <c r="G323" s="50" t="inlineStr">
        <is>
          <t>technosphere</t>
        </is>
      </c>
      <c r="H323" s="50" t="inlineStr">
        <is>
          <t>bafu</t>
        </is>
      </c>
      <c r="I323" s="50" t="n"/>
      <c r="L323" s="12" t="n"/>
      <c r="M323" s="12" t="n"/>
      <c r="N323" s="12" t="n"/>
      <c r="O323" s="12" t="n"/>
      <c r="P323" s="12" t="n"/>
      <c r="Q323" s="12" t="n"/>
    </row>
    <row r="324" ht="15" customFormat="1" customHeight="1" s="8">
      <c r="B324" s="9" t="n"/>
      <c r="L324" s="9" t="n"/>
      <c r="M324" s="9" t="n"/>
      <c r="N324" s="9" t="n"/>
      <c r="O324" s="9" t="n"/>
      <c r="P324" s="9" t="n"/>
      <c r="Q324" s="9" t="n"/>
    </row>
    <row r="325" ht="15.6" customFormat="1" customHeight="1" s="8">
      <c r="A325" s="63" t="inlineStr">
        <is>
          <t>Activity</t>
        </is>
      </c>
      <c r="B325" s="88" t="inlineStr">
        <is>
          <t>hydrogen production, gaseous, 1 bar, from SOEC electrolysis, from grid electricity</t>
        </is>
      </c>
      <c r="C325" s="64" t="n"/>
      <c r="D325" s="65" t="n"/>
      <c r="E325" s="64" t="n"/>
      <c r="F325" s="64" t="n"/>
      <c r="G325" s="64" t="n"/>
      <c r="H325" s="64" t="n"/>
      <c r="I325" s="64" t="n"/>
      <c r="L325" s="9" t="n"/>
      <c r="M325" s="9" t="n"/>
      <c r="N325" s="9" t="n"/>
      <c r="O325" s="9" t="n"/>
      <c r="P325" s="9" t="n"/>
      <c r="Q325" s="9" t="n"/>
    </row>
    <row r="326" ht="15" customFormat="1" customHeight="1" s="8">
      <c r="A326" s="66" t="inlineStr">
        <is>
          <t>production amount</t>
        </is>
      </c>
      <c r="B326" s="89" t="n">
        <v>1</v>
      </c>
      <c r="C326" s="64" t="n"/>
      <c r="D326" s="64" t="n"/>
      <c r="E326" s="64" t="n"/>
      <c r="F326" s="64" t="n"/>
      <c r="G326" s="64" t="n"/>
      <c r="H326" s="64" t="n"/>
      <c r="I326" s="64" t="n"/>
      <c r="L326" s="9" t="n"/>
      <c r="M326" s="9" t="n"/>
      <c r="N326" s="9" t="n"/>
      <c r="O326" s="9" t="n"/>
      <c r="P326" s="9" t="n"/>
      <c r="Q326" s="9" t="n"/>
    </row>
    <row r="327" ht="15" customFormat="1" customHeight="1" s="8">
      <c r="A327" s="66" t="inlineStr">
        <is>
          <t>comment</t>
        </is>
      </c>
      <c r="B327" s="89" t="inlineStr">
        <is>
          <t>1 kg H2 produced using a SOEC electrolyzer. Original source: 1 MW SOEC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t>
        </is>
      </c>
      <c r="C327" s="64" t="n"/>
      <c r="D327" s="64" t="n"/>
      <c r="E327" s="64" t="n"/>
      <c r="F327" s="64" t="n"/>
      <c r="G327" s="64" t="n"/>
      <c r="H327" s="64" t="n"/>
      <c r="I327" s="64" t="n"/>
      <c r="L327" s="9" t="n"/>
      <c r="M327" s="9" t="n"/>
      <c r="N327" s="9" t="n"/>
      <c r="O327" s="9" t="n"/>
      <c r="P327" s="9" t="n"/>
      <c r="Q327" s="9" t="n"/>
    </row>
    <row r="328" ht="15" customFormat="1" customHeight="1" s="8">
      <c r="A328" s="66" t="inlineStr">
        <is>
          <t>reference product</t>
        </is>
      </c>
      <c r="B328" s="90" t="inlineStr">
        <is>
          <t>hydrogen, gaseous, 1 bar</t>
        </is>
      </c>
      <c r="C328" s="64" t="n"/>
      <c r="D328" s="64" t="n"/>
      <c r="E328" s="64" t="n"/>
      <c r="F328" s="64" t="n"/>
      <c r="G328" s="64" t="n"/>
      <c r="H328" s="64" t="n"/>
      <c r="I328" s="64" t="n"/>
      <c r="L328" s="9" t="n"/>
      <c r="M328" s="9" t="n"/>
      <c r="N328" s="9" t="n"/>
      <c r="O328" s="9" t="n"/>
      <c r="P328" s="9" t="n"/>
      <c r="Q328" s="9" t="n"/>
    </row>
    <row r="329" ht="15" customFormat="1" customHeight="1" s="8">
      <c r="A329" s="66" t="inlineStr">
        <is>
          <t>location</t>
        </is>
      </c>
      <c r="B329" s="89" t="inlineStr">
        <is>
          <t>CH</t>
        </is>
      </c>
      <c r="C329" s="64" t="n"/>
      <c r="D329" s="64" t="n"/>
      <c r="E329" s="64" t="n"/>
      <c r="F329" s="64" t="n"/>
      <c r="G329" s="64" t="n"/>
      <c r="H329" s="64" t="n"/>
      <c r="I329" s="64" t="n"/>
      <c r="L329" s="9" t="n"/>
      <c r="M329" s="9" t="n"/>
      <c r="N329" s="9" t="n"/>
      <c r="O329" s="9" t="n"/>
      <c r="P329" s="9" t="n"/>
      <c r="Q329" s="9" t="n"/>
    </row>
    <row r="330" ht="15.6" customFormat="1" customHeight="1" s="8">
      <c r="A330" s="66" t="inlineStr">
        <is>
          <t>unit</t>
        </is>
      </c>
      <c r="B330" s="70" t="inlineStr">
        <is>
          <t>kilogram</t>
        </is>
      </c>
      <c r="C330" s="64" t="n"/>
      <c r="D330" s="64" t="n"/>
      <c r="E330" s="64" t="n"/>
      <c r="F330" s="64" t="n"/>
      <c r="G330" s="64" t="n"/>
      <c r="H330" s="64" t="n"/>
      <c r="I330" s="68" t="n"/>
      <c r="J330" s="10" t="n"/>
      <c r="K330" s="10" t="n"/>
      <c r="L330" s="9" t="n"/>
      <c r="M330" s="9" t="n"/>
      <c r="N330" s="9" t="n"/>
      <c r="O330" s="9" t="n"/>
      <c r="P330" s="9" t="n"/>
      <c r="Q330" s="9" t="n"/>
    </row>
    <row r="331" ht="15.6" customFormat="1" customHeight="1" s="8">
      <c r="A331" s="68" t="inlineStr">
        <is>
          <t>Exchanges</t>
        </is>
      </c>
      <c r="B331" s="88" t="n"/>
      <c r="C331" s="68" t="n"/>
      <c r="D331" s="68" t="n"/>
      <c r="E331" s="68" t="n"/>
      <c r="F331" s="68" t="n"/>
      <c r="G331" s="68" t="n"/>
      <c r="H331" s="68" t="n"/>
      <c r="I331" s="65" t="n"/>
      <c r="J331" s="7" t="n"/>
      <c r="K331" s="7" t="n"/>
      <c r="L331" s="9" t="n"/>
      <c r="M331" s="9" t="n"/>
      <c r="N331" s="9" t="n"/>
      <c r="O331" s="9" t="n"/>
      <c r="P331" s="9" t="n"/>
      <c r="Q331" s="9" t="n"/>
    </row>
    <row r="332" ht="15.6" customFormat="1" customHeight="1" s="8">
      <c r="A332" s="68" t="inlineStr">
        <is>
          <t>name</t>
        </is>
      </c>
      <c r="B332" s="88" t="inlineStr">
        <is>
          <t>amount</t>
        </is>
      </c>
      <c r="C332" s="68" t="inlineStr">
        <is>
          <t>reference product</t>
        </is>
      </c>
      <c r="D332" s="68" t="inlineStr">
        <is>
          <t>location</t>
        </is>
      </c>
      <c r="E332" s="68" t="inlineStr">
        <is>
          <t>unit</t>
        </is>
      </c>
      <c r="F332" s="68" t="inlineStr">
        <is>
          <t>categories</t>
        </is>
      </c>
      <c r="G332" s="68" t="inlineStr">
        <is>
          <t>type</t>
        </is>
      </c>
      <c r="H332" s="67" t="inlineStr">
        <is>
          <t>database</t>
        </is>
      </c>
      <c r="I332" s="69" t="inlineStr">
        <is>
          <t>comment</t>
        </is>
      </c>
      <c r="J332" s="10" t="n"/>
      <c r="K332" s="6" t="n"/>
      <c r="L332" s="11" t="n"/>
      <c r="M332" s="11" t="n"/>
      <c r="N332" s="11" t="n"/>
      <c r="O332" s="11" t="n"/>
      <c r="P332" s="11" t="n"/>
      <c r="Q332" s="11" t="n"/>
      <c r="R332" s="6" t="n"/>
      <c r="S332" s="6" t="n"/>
      <c r="T332" s="10" t="n"/>
      <c r="U332" s="6" t="n"/>
    </row>
    <row r="333" ht="15.6" customFormat="1" customHeight="1" s="8">
      <c r="A333" s="67" t="inlineStr">
        <is>
          <t>hydrogen production, gaseous, 1 bar, from SOEC electrolysis, from grid electricity</t>
        </is>
      </c>
      <c r="B333" s="70" t="n">
        <v>1</v>
      </c>
      <c r="C333" s="64" t="inlineStr">
        <is>
          <t>hydrogen, gaseous, 1 bar</t>
        </is>
      </c>
      <c r="D333" s="64" t="inlineStr">
        <is>
          <t>CH</t>
        </is>
      </c>
      <c r="E333" s="64" t="inlineStr">
        <is>
          <t>kilogram</t>
        </is>
      </c>
      <c r="F333" s="65" t="n"/>
      <c r="G333" s="64" t="inlineStr">
        <is>
          <t>production</t>
        </is>
      </c>
      <c r="H333" s="67" t="inlineStr">
        <is>
          <t>h2_electrolysis</t>
        </is>
      </c>
      <c r="I333" s="65" t="n"/>
      <c r="J333" s="7" t="n"/>
      <c r="L333" s="9" t="n"/>
      <c r="M333" s="9" t="n"/>
      <c r="N333" s="9" t="n"/>
      <c r="O333" s="9" t="n"/>
      <c r="P333" s="9" t="n"/>
      <c r="Q333" s="9" t="n"/>
    </row>
    <row r="334" ht="15.6" customFormat="1" customHeight="1" s="8">
      <c r="A334" s="67" t="inlineStr">
        <is>
          <t>electrolyzer production, 1MWe, SOEC, Stack</t>
        </is>
      </c>
      <c r="B334" s="67" t="n">
        <v>2.648305084745763e-07</v>
      </c>
      <c r="C334" s="64" t="inlineStr">
        <is>
          <t>electrolyzer, 1MWe, SOEC, Stack</t>
        </is>
      </c>
      <c r="D334" s="64" t="inlineStr">
        <is>
          <t>RER</t>
        </is>
      </c>
      <c r="E334" s="64" t="inlineStr">
        <is>
          <t>unit</t>
        </is>
      </c>
      <c r="F334" s="64" t="n"/>
      <c r="G334" s="64" t="inlineStr">
        <is>
          <t>technosphere</t>
        </is>
      </c>
      <c r="H334" s="64" t="inlineStr">
        <is>
          <t>h2_electrolysis</t>
        </is>
      </c>
      <c r="I334" s="64" t="inlineStr">
        <is>
          <t>Stack, 2.5 years lifetime.</t>
        </is>
      </c>
      <c r="L334" s="12" t="n"/>
      <c r="M334" s="12" t="n"/>
      <c r="N334" s="12" t="n"/>
      <c r="O334" s="12" t="n"/>
      <c r="P334" s="12" t="n"/>
      <c r="Q334" s="12" t="n"/>
    </row>
    <row r="335" ht="15.6" customFormat="1" customHeight="1" s="8">
      <c r="A335" s="67" t="inlineStr">
        <is>
          <t>electrolyzer production, 1MWe, SOEC, Balance of Plant</t>
        </is>
      </c>
      <c r="B335" s="67" t="n">
        <v>2.648305084745763e-07</v>
      </c>
      <c r="C335" s="64" t="inlineStr">
        <is>
          <t>electrolyzer, 1MWe, SOEC, Balance of Plant</t>
        </is>
      </c>
      <c r="D335" s="64" t="inlineStr">
        <is>
          <t>RER</t>
        </is>
      </c>
      <c r="E335" s="64" t="inlineStr">
        <is>
          <t>unit</t>
        </is>
      </c>
      <c r="F335" s="64" t="n"/>
      <c r="G335" s="64" t="inlineStr">
        <is>
          <t>technosphere</t>
        </is>
      </c>
      <c r="H335" s="64" t="inlineStr">
        <is>
          <t>h2_electrolysis</t>
        </is>
      </c>
      <c r="I335" s="64" t="inlineStr">
        <is>
          <t>BoP, 20 years lifetime.</t>
        </is>
      </c>
      <c r="L335" s="12" t="n"/>
      <c r="M335" s="12" t="n"/>
      <c r="N335" s="12" t="n"/>
      <c r="O335" s="12" t="n"/>
      <c r="P335" s="12" t="n"/>
      <c r="Q335" s="12" t="n"/>
    </row>
    <row r="336" ht="15.6" customFormat="1" customHeight="1" s="8">
      <c r="A336" s="67" t="inlineStr">
        <is>
          <t>treatment of fuel cell stack, 1MWe, SOEC</t>
        </is>
      </c>
      <c r="B336" s="67" t="n">
        <v>-2.648305084745763e-07</v>
      </c>
      <c r="C336" s="64" t="inlineStr">
        <is>
          <t>used fuel cell stack, 1MWe, SOEC</t>
        </is>
      </c>
      <c r="D336" s="64" t="inlineStr">
        <is>
          <t>RER</t>
        </is>
      </c>
      <c r="E336" s="64" t="inlineStr">
        <is>
          <t>unit</t>
        </is>
      </c>
      <c r="F336" s="64" t="n"/>
      <c r="G336" s="64" t="inlineStr">
        <is>
          <t>technosphere</t>
        </is>
      </c>
      <c r="H336" s="64" t="inlineStr">
        <is>
          <t>h2_electrolysis</t>
        </is>
      </c>
      <c r="I336" s="64" t="inlineStr">
        <is>
          <t>Stack EoL</t>
        </is>
      </c>
      <c r="L336" s="12" t="n"/>
      <c r="M336" s="12" t="n"/>
      <c r="N336" s="12" t="n"/>
      <c r="O336" s="12" t="n"/>
      <c r="P336" s="12" t="n"/>
      <c r="Q336" s="12" t="n"/>
    </row>
    <row r="337" ht="15.6" customFormat="1" customHeight="1" s="8">
      <c r="A337" s="67" t="inlineStr">
        <is>
          <t>treatment of fuel cell balance of plant, 1MWe, SOEC</t>
        </is>
      </c>
      <c r="B337" s="67" t="n">
        <v>-2.648305084745763e-07</v>
      </c>
      <c r="C337" s="64" t="inlineStr">
        <is>
          <t>used fuel cell balance of plant, 1MWe, SOEC</t>
        </is>
      </c>
      <c r="D337" s="64" t="inlineStr">
        <is>
          <t>RER</t>
        </is>
      </c>
      <c r="E337" s="64" t="inlineStr">
        <is>
          <t>unit</t>
        </is>
      </c>
      <c r="F337" s="64" t="n"/>
      <c r="G337" s="64" t="inlineStr">
        <is>
          <t>technosphere</t>
        </is>
      </c>
      <c r="H337" s="64" t="inlineStr">
        <is>
          <t>h2_electrolysis</t>
        </is>
      </c>
      <c r="I337" s="64" t="inlineStr">
        <is>
          <t>BoP EoL</t>
        </is>
      </c>
      <c r="L337" s="12" t="n"/>
      <c r="M337" s="12" t="n"/>
      <c r="N337" s="12" t="n"/>
      <c r="O337" s="12" t="n"/>
      <c r="P337" s="12" t="n"/>
      <c r="Q337" s="12" t="n"/>
    </row>
    <row r="338" ht="15.6" customFormat="1" customHeight="1" s="8">
      <c r="A338" s="66" t="inlineStr">
        <is>
          <t>Electricity, low voltage, at grid</t>
        </is>
      </c>
      <c r="B338" s="70" t="n">
        <v>42.3</v>
      </c>
      <c r="C338" s="64" t="inlineStr">
        <is>
          <t>Electricity, low voltage, at grid</t>
        </is>
      </c>
      <c r="D338" s="64" t="inlineStr">
        <is>
          <t>CH</t>
        </is>
      </c>
      <c r="E338" s="64" t="inlineStr">
        <is>
          <t>kilowatt hour</t>
        </is>
      </c>
      <c r="F338" s="65" t="n"/>
      <c r="G338" s="64" t="inlineStr">
        <is>
          <t>technosphere</t>
        </is>
      </c>
      <c r="H338" s="64" t="inlineStr">
        <is>
          <t>bafu</t>
        </is>
      </c>
      <c r="I338" s="65" t="inlineStr">
        <is>
          <t>Electricity consumption with 85% eff if steam input, otherwise, 78.7%.</t>
        </is>
      </c>
      <c r="L338" s="12" t="n"/>
      <c r="M338" s="12" t="n"/>
      <c r="N338" s="12" t="n"/>
      <c r="O338" s="12" t="n"/>
      <c r="P338" s="12" t="n"/>
      <c r="Q338" s="12" t="n"/>
    </row>
    <row r="339" ht="15.6" customFormat="1" customHeight="1" s="8">
      <c r="A339" s="66" t="inlineStr">
        <is>
          <t>Heat, from natural gas</t>
        </is>
      </c>
      <c r="B339" s="67" t="n">
        <v>0</v>
      </c>
      <c r="C339" s="64" t="inlineStr">
        <is>
          <t>Heat, from natural gas</t>
        </is>
      </c>
      <c r="D339" s="64" t="inlineStr">
        <is>
          <t>CH</t>
        </is>
      </c>
      <c r="E339" s="64" t="inlineStr">
        <is>
          <t>megajoule</t>
        </is>
      </c>
      <c r="F339" s="65" t="n"/>
      <c r="G339" s="64" t="inlineStr">
        <is>
          <t>technosphere</t>
        </is>
      </c>
      <c r="H339" s="64" t="inlineStr">
        <is>
          <t>bafu</t>
        </is>
      </c>
      <c r="I339" s="65" t="inlineStr">
        <is>
          <t>5.24 kWh heat needed/kg H2</t>
        </is>
      </c>
      <c r="L339" s="12" t="n"/>
      <c r="M339" s="12" t="n"/>
      <c r="N339" s="12" t="n"/>
      <c r="O339" s="12" t="n"/>
      <c r="P339" s="12" t="n"/>
      <c r="Q339" s="12" t="n"/>
    </row>
    <row r="340" ht="15.6" customFormat="1" customHeight="1" s="8">
      <c r="A340" s="66" t="inlineStr">
        <is>
          <t>Water, deionised, at plant</t>
        </is>
      </c>
      <c r="B340" s="70" t="n">
        <v>14</v>
      </c>
      <c r="C340" s="64" t="inlineStr">
        <is>
          <t>Water, deionised, at plant</t>
        </is>
      </c>
      <c r="D340" s="64" t="inlineStr">
        <is>
          <t>CH</t>
        </is>
      </c>
      <c r="E340" s="64" t="inlineStr">
        <is>
          <t>kilogram</t>
        </is>
      </c>
      <c r="F340" s="64" t="n"/>
      <c r="G340" s="64" t="inlineStr">
        <is>
          <t>technosphere</t>
        </is>
      </c>
      <c r="H340" s="64" t="inlineStr">
        <is>
          <t>bafu</t>
        </is>
      </c>
      <c r="I340" s="71" t="inlineStr">
        <is>
          <t xml:space="preserve">A perfect reaction of H2O results in 1 kg H2 and 8 kg O2, and needs 9 kg H2O, however, considering some losses we assume 14 kg H2O (Simoes et al., 2021). </t>
        </is>
      </c>
      <c r="L340" s="12" t="n"/>
      <c r="M340" s="12" t="n"/>
      <c r="N340" s="12" t="n"/>
      <c r="O340" s="12" t="n"/>
      <c r="P340" s="12" t="n"/>
      <c r="Q340" s="12" t="n"/>
    </row>
    <row r="341" ht="15.6" customFormat="1" customHeight="1" s="8">
      <c r="A341" s="74" t="inlineStr">
        <is>
          <t>Oxygen</t>
        </is>
      </c>
      <c r="B341" s="67" t="n">
        <v>8</v>
      </c>
      <c r="C341" s="74" t="n"/>
      <c r="D341" s="74" t="n"/>
      <c r="E341" s="74" t="inlineStr">
        <is>
          <t>kilogram</t>
        </is>
      </c>
      <c r="F341" s="74" t="inlineStr">
        <is>
          <t>air</t>
        </is>
      </c>
      <c r="G341" s="74" t="inlineStr">
        <is>
          <t>biosphere</t>
        </is>
      </c>
      <c r="H341" s="74" t="inlineStr">
        <is>
          <t>biosphere3</t>
        </is>
      </c>
      <c r="I341" s="74" t="n"/>
      <c r="L341" s="12" t="n"/>
      <c r="M341" s="12" t="n"/>
      <c r="N341" s="12" t="n"/>
      <c r="O341" s="12" t="n"/>
      <c r="P341" s="12" t="n"/>
      <c r="Q341" s="12" t="n"/>
      <c r="R341" s="12" t="n"/>
    </row>
    <row r="342" ht="15.6" customFormat="1" customHeight="1" s="8">
      <c r="A342" s="74" t="inlineStr">
        <is>
          <t>Occupation, industrial area</t>
        </is>
      </c>
      <c r="B342" s="67" t="n">
        <v>0.0001059322033898305</v>
      </c>
      <c r="C342" s="64" t="n"/>
      <c r="D342" s="74" t="n"/>
      <c r="E342" s="74" t="inlineStr">
        <is>
          <t>square meter-year</t>
        </is>
      </c>
      <c r="F342" s="74" t="inlineStr">
        <is>
          <t>natural resource::land</t>
        </is>
      </c>
      <c r="G342" s="74" t="inlineStr">
        <is>
          <t>biosphere</t>
        </is>
      </c>
      <c r="H342" s="74" t="inlineStr">
        <is>
          <t>biosphere3</t>
        </is>
      </c>
      <c r="I342" s="74" t="inlineStr">
        <is>
          <t>Electrolyser land footprint: (0.02 [m2/kW]*1000[kW/MW])/(3776000[kg H2 per lifetime]/20[years])</t>
        </is>
      </c>
      <c r="J342" s="8" t="n">
        <v>2</v>
      </c>
      <c r="K342" t="n">
        <v>-9.152711259139547</v>
      </c>
      <c r="L342" s="12" t="n">
        <v>1.05</v>
      </c>
      <c r="M342" s="12" t="n">
        <v>1.1</v>
      </c>
      <c r="N342" s="12" t="n">
        <v>1</v>
      </c>
      <c r="O342" s="12" t="n">
        <v>1.02</v>
      </c>
      <c r="P342" s="12" t="n">
        <v>1.2</v>
      </c>
      <c r="Q342" s="12" t="n">
        <v>1.2</v>
      </c>
      <c r="R342" s="12" t="n">
        <v>1.5</v>
      </c>
      <c r="S342" t="n">
        <v>0.2463437174856263</v>
      </c>
    </row>
    <row r="343" ht="15.6" customFormat="1" customHeight="1" s="8">
      <c r="A343" s="74" t="inlineStr">
        <is>
          <t>Transformation, from industrial area</t>
        </is>
      </c>
      <c r="B343" s="67" t="n">
        <v>5.296610169491526e-06</v>
      </c>
      <c r="C343" s="64" t="n"/>
      <c r="D343" s="74" t="n"/>
      <c r="E343" s="74" t="inlineStr">
        <is>
          <t>square meter</t>
        </is>
      </c>
      <c r="F343" s="74" t="inlineStr">
        <is>
          <t>natural resource::land</t>
        </is>
      </c>
      <c r="G343" s="74" t="inlineStr">
        <is>
          <t>biosphere</t>
        </is>
      </c>
      <c r="H343" s="74" t="inlineStr">
        <is>
          <t>biosphere3</t>
        </is>
      </c>
      <c r="I343" s="74" t="inlineStr">
        <is>
          <t>Electrolyser land transformation: (0.02 [m2/kW]*1000 [kW/MW])/3776000 [kg H2]</t>
        </is>
      </c>
      <c r="J343" s="8" t="n">
        <v>2</v>
      </c>
      <c r="K343" t="n">
        <v>-12.14844353269354</v>
      </c>
      <c r="L343" s="12" t="n">
        <v>1.05</v>
      </c>
      <c r="M343" s="12" t="n">
        <v>1.1</v>
      </c>
      <c r="N343" s="12" t="n">
        <v>1</v>
      </c>
      <c r="O343" s="12" t="n">
        <v>1.02</v>
      </c>
      <c r="P343" s="12" t="n">
        <v>1.2</v>
      </c>
      <c r="Q343" s="12" t="n">
        <v>1.2</v>
      </c>
      <c r="R343" s="12" t="n">
        <v>1.5</v>
      </c>
      <c r="S343" t="n">
        <v>0.2463437174856263</v>
      </c>
    </row>
    <row r="344" ht="15.6" customFormat="1" customHeight="1" s="8">
      <c r="A344" s="74" t="inlineStr">
        <is>
          <t>Transformation, to industrial area</t>
        </is>
      </c>
      <c r="B344" s="67" t="n">
        <v>5.296610169491526e-06</v>
      </c>
      <c r="C344" s="64" t="n"/>
      <c r="D344" s="74" t="n"/>
      <c r="E344" s="74" t="inlineStr">
        <is>
          <t>square meter</t>
        </is>
      </c>
      <c r="F344" s="74" t="inlineStr">
        <is>
          <t>natural resource::land</t>
        </is>
      </c>
      <c r="G344" s="74" t="inlineStr">
        <is>
          <t>biosphere</t>
        </is>
      </c>
      <c r="H344" s="74" t="inlineStr">
        <is>
          <t>biosphere3</t>
        </is>
      </c>
      <c r="I344" s="74" t="inlineStr">
        <is>
          <t>Electrolyser land transformation: (0.02 [m2/kW]*1000 [kW/MW])/3776000 [kg H2]</t>
        </is>
      </c>
      <c r="J344" s="8" t="n">
        <v>2</v>
      </c>
      <c r="K344" t="n">
        <v>-12.14844353269354</v>
      </c>
      <c r="L344" s="12" t="n">
        <v>1.05</v>
      </c>
      <c r="M344" s="12" t="n">
        <v>1.1</v>
      </c>
      <c r="N344" s="12" t="n">
        <v>1</v>
      </c>
      <c r="O344" s="12" t="n">
        <v>1.02</v>
      </c>
      <c r="P344" s="12" t="n">
        <v>1.2</v>
      </c>
      <c r="Q344" s="12" t="n">
        <v>1.2</v>
      </c>
      <c r="R344" s="12" t="n">
        <v>1.5</v>
      </c>
      <c r="S344" t="n">
        <v>0.2463437174856263</v>
      </c>
    </row>
    <row r="345" ht="15" customFormat="1" customHeight="1" s="8">
      <c r="B345" s="9" t="n"/>
      <c r="L345" s="9" t="n"/>
      <c r="M345" s="9" t="n"/>
      <c r="N345" s="9" t="n"/>
      <c r="O345" s="9" t="n"/>
      <c r="P345" s="9" t="n"/>
      <c r="Q345" s="9" t="n"/>
    </row>
    <row r="346" ht="15.6" customFormat="1" customHeight="1" s="8">
      <c r="A346" s="63" t="inlineStr">
        <is>
          <t>Activity</t>
        </is>
      </c>
      <c r="B346" s="88" t="inlineStr">
        <is>
          <t>hydrogen production, gaseous, 1 bar, from SOEC electrolysis, with steam input, from grid electricity</t>
        </is>
      </c>
      <c r="C346" s="64" t="n"/>
      <c r="D346" s="65" t="n"/>
      <c r="E346" s="64" t="n"/>
      <c r="F346" s="64" t="n"/>
      <c r="G346" s="64" t="n"/>
      <c r="H346" s="64" t="n"/>
      <c r="I346" s="64" t="n"/>
      <c r="L346" s="9" t="n"/>
      <c r="M346" s="9" t="n"/>
      <c r="N346" s="9" t="n"/>
      <c r="O346" s="9" t="n"/>
      <c r="P346" s="9" t="n"/>
      <c r="Q346" s="9" t="n"/>
    </row>
    <row r="347" ht="15" customFormat="1" customHeight="1" s="8">
      <c r="A347" s="66" t="inlineStr">
        <is>
          <t>production amount</t>
        </is>
      </c>
      <c r="B347" s="89" t="n">
        <v>1</v>
      </c>
      <c r="C347" s="64" t="n"/>
      <c r="D347" s="64" t="n"/>
      <c r="E347" s="64" t="n"/>
      <c r="F347" s="64" t="n"/>
      <c r="G347" s="64" t="n"/>
      <c r="H347" s="64" t="n"/>
      <c r="I347" s="64" t="n"/>
      <c r="L347" s="9" t="n"/>
      <c r="M347" s="9" t="n"/>
      <c r="N347" s="9" t="n"/>
      <c r="O347" s="9" t="n"/>
      <c r="P347" s="9" t="n"/>
      <c r="Q347" s="9" t="n"/>
    </row>
    <row r="348" ht="15" customFormat="1" customHeight="1" s="8">
      <c r="A348" s="66" t="inlineStr">
        <is>
          <t>comment</t>
        </is>
      </c>
      <c r="B348" s="89" t="inlineStr">
        <is>
          <t>1 kg H2 produced using a SOEC electrolyzer. Original source: 1 MW SOEC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t>
        </is>
      </c>
      <c r="C348" s="64" t="n"/>
      <c r="D348" s="64" t="n"/>
      <c r="E348" s="64" t="n"/>
      <c r="F348" s="64" t="n"/>
      <c r="G348" s="64" t="n"/>
      <c r="H348" s="64" t="n"/>
      <c r="I348" s="64" t="n"/>
      <c r="L348" s="9" t="n"/>
      <c r="M348" s="9" t="n"/>
      <c r="N348" s="9" t="n"/>
      <c r="O348" s="9" t="n"/>
      <c r="P348" s="9" t="n"/>
      <c r="Q348" s="9" t="n"/>
    </row>
    <row r="349" ht="15" customFormat="1" customHeight="1" s="8">
      <c r="A349" s="66" t="inlineStr">
        <is>
          <t>reference product</t>
        </is>
      </c>
      <c r="B349" s="90" t="inlineStr">
        <is>
          <t>hydrogen, gaseous, 1 bar</t>
        </is>
      </c>
      <c r="C349" s="64" t="n"/>
      <c r="D349" s="64" t="n"/>
      <c r="E349" s="64" t="n"/>
      <c r="F349" s="64" t="n"/>
      <c r="G349" s="64" t="n"/>
      <c r="H349" s="64" t="n"/>
      <c r="I349" s="64" t="n"/>
      <c r="L349" s="9" t="n"/>
      <c r="M349" s="9" t="n"/>
      <c r="N349" s="9" t="n"/>
      <c r="O349" s="9" t="n"/>
      <c r="P349" s="9" t="n"/>
      <c r="Q349" s="9" t="n"/>
    </row>
    <row r="350" ht="15" customFormat="1" customHeight="1" s="8">
      <c r="A350" s="66" t="inlineStr">
        <is>
          <t>location</t>
        </is>
      </c>
      <c r="B350" s="89" t="inlineStr">
        <is>
          <t>CH</t>
        </is>
      </c>
      <c r="C350" s="64" t="n"/>
      <c r="D350" s="64" t="n"/>
      <c r="E350" s="64" t="n"/>
      <c r="F350" s="64" t="n"/>
      <c r="G350" s="64" t="n"/>
      <c r="H350" s="64" t="n"/>
      <c r="I350" s="64" t="n"/>
      <c r="L350" s="9" t="n"/>
      <c r="M350" s="9" t="n"/>
      <c r="N350" s="9" t="n"/>
      <c r="O350" s="9" t="n"/>
      <c r="P350" s="9" t="n"/>
      <c r="Q350" s="9" t="n"/>
    </row>
    <row r="351" ht="15.6" customFormat="1" customHeight="1" s="8">
      <c r="A351" s="66" t="inlineStr">
        <is>
          <t>unit</t>
        </is>
      </c>
      <c r="B351" s="70" t="inlineStr">
        <is>
          <t>kilogram</t>
        </is>
      </c>
      <c r="C351" s="64" t="n"/>
      <c r="D351" s="64" t="n"/>
      <c r="E351" s="64" t="n"/>
      <c r="F351" s="64" t="n"/>
      <c r="G351" s="64" t="n"/>
      <c r="H351" s="64" t="n"/>
      <c r="I351" s="68" t="n"/>
      <c r="J351" s="10" t="n"/>
      <c r="K351" s="10" t="n"/>
      <c r="L351" s="9" t="n"/>
      <c r="M351" s="9" t="n"/>
      <c r="N351" s="9" t="n"/>
      <c r="O351" s="9" t="n"/>
      <c r="P351" s="9" t="n"/>
      <c r="Q351" s="9" t="n"/>
    </row>
    <row r="352" ht="15.6" customFormat="1" customHeight="1" s="8">
      <c r="A352" s="68" t="inlineStr">
        <is>
          <t>Exchanges</t>
        </is>
      </c>
      <c r="B352" s="88" t="n"/>
      <c r="C352" s="68" t="n"/>
      <c r="D352" s="68" t="n"/>
      <c r="E352" s="68" t="n"/>
      <c r="F352" s="68" t="n"/>
      <c r="G352" s="68" t="n"/>
      <c r="H352" s="68" t="n"/>
      <c r="I352" s="65" t="n"/>
      <c r="J352" s="7" t="n"/>
      <c r="K352" s="7" t="n"/>
      <c r="L352" s="9" t="n"/>
      <c r="M352" s="9" t="n"/>
      <c r="N352" s="9" t="n"/>
      <c r="O352" s="9" t="n"/>
      <c r="P352" s="9" t="n"/>
      <c r="Q352" s="9" t="n"/>
    </row>
    <row r="353" ht="15.6" customFormat="1" customHeight="1" s="8">
      <c r="A353" s="68" t="inlineStr">
        <is>
          <t>name</t>
        </is>
      </c>
      <c r="B353" s="88" t="inlineStr">
        <is>
          <t>amount</t>
        </is>
      </c>
      <c r="C353" s="68" t="inlineStr">
        <is>
          <t>reference product</t>
        </is>
      </c>
      <c r="D353" s="68" t="inlineStr">
        <is>
          <t>location</t>
        </is>
      </c>
      <c r="E353" s="68" t="inlineStr">
        <is>
          <t>unit</t>
        </is>
      </c>
      <c r="F353" s="68" t="inlineStr">
        <is>
          <t>categories</t>
        </is>
      </c>
      <c r="G353" s="68" t="inlineStr">
        <is>
          <t>type</t>
        </is>
      </c>
      <c r="H353" s="67" t="inlineStr">
        <is>
          <t>database</t>
        </is>
      </c>
      <c r="I353" s="69" t="inlineStr">
        <is>
          <t>comment</t>
        </is>
      </c>
      <c r="J353" s="10" t="n"/>
      <c r="K353" s="6" t="n"/>
      <c r="L353" s="11" t="n"/>
      <c r="M353" s="11" t="n"/>
      <c r="N353" s="11" t="n"/>
      <c r="O353" s="11" t="n"/>
      <c r="P353" s="11" t="n"/>
      <c r="Q353" s="11" t="n"/>
      <c r="R353" s="6" t="n"/>
      <c r="S353" s="6" t="n"/>
      <c r="T353" s="10" t="n"/>
      <c r="U353" s="6" t="n"/>
    </row>
    <row r="354" ht="15.6" customFormat="1" customHeight="1" s="8">
      <c r="A354" s="67" t="inlineStr">
        <is>
          <t>hydrogen production, gaseous, 1 bar, from SOEC electrolysis, with steam input, from grid electricity</t>
        </is>
      </c>
      <c r="B354" s="70" t="n">
        <v>1</v>
      </c>
      <c r="C354" s="64" t="inlineStr">
        <is>
          <t>hydrogen, gaseous, 1 bar</t>
        </is>
      </c>
      <c r="D354" s="64" t="inlineStr">
        <is>
          <t>CH</t>
        </is>
      </c>
      <c r="E354" s="64" t="inlineStr">
        <is>
          <t>kilogram</t>
        </is>
      </c>
      <c r="F354" s="65" t="n"/>
      <c r="G354" s="64" t="inlineStr">
        <is>
          <t>production</t>
        </is>
      </c>
      <c r="H354" s="67" t="inlineStr">
        <is>
          <t>h2_electrolysis</t>
        </is>
      </c>
      <c r="I354" s="65" t="n"/>
      <c r="J354" s="7" t="n"/>
      <c r="L354" s="9" t="n"/>
      <c r="M354" s="9" t="n"/>
      <c r="N354" s="9" t="n"/>
      <c r="O354" s="9" t="n"/>
      <c r="P354" s="9" t="n"/>
      <c r="Q354" s="9" t="n"/>
    </row>
    <row r="355" ht="15.6" customFormat="1" customHeight="1" s="8">
      <c r="A355" s="67" t="inlineStr">
        <is>
          <t>electrolyzer production, 1MWe, SOEC, Stack</t>
        </is>
      </c>
      <c r="B355" s="67" t="n">
        <v>2.648305084745763e-07</v>
      </c>
      <c r="C355" s="64" t="inlineStr">
        <is>
          <t>electrolyzer, 1MWe, SOEC, Stack</t>
        </is>
      </c>
      <c r="D355" s="64" t="inlineStr">
        <is>
          <t>RER</t>
        </is>
      </c>
      <c r="E355" s="64" t="inlineStr">
        <is>
          <t>unit</t>
        </is>
      </c>
      <c r="F355" s="64" t="n"/>
      <c r="G355" s="64" t="inlineStr">
        <is>
          <t>technosphere</t>
        </is>
      </c>
      <c r="H355" s="64" t="inlineStr">
        <is>
          <t>h2_electrolysis</t>
        </is>
      </c>
      <c r="I355" s="64" t="inlineStr">
        <is>
          <t>Stack, 2.5 years lifetime.</t>
        </is>
      </c>
      <c r="L355" s="12" t="n"/>
      <c r="M355" s="12" t="n"/>
      <c r="N355" s="12" t="n"/>
      <c r="O355" s="12" t="n"/>
      <c r="P355" s="12" t="n"/>
      <c r="Q355" s="12" t="n"/>
    </row>
    <row r="356" ht="15.6" customFormat="1" customHeight="1" s="8">
      <c r="A356" s="67" t="inlineStr">
        <is>
          <t>electrolyzer production, 1MWe, SOEC, Balance of Plant</t>
        </is>
      </c>
      <c r="B356" s="67" t="n">
        <v>2.648305084745763e-07</v>
      </c>
      <c r="C356" s="64" t="inlineStr">
        <is>
          <t>electrolyzer, 1MWe, SOEC, Balance of Plant</t>
        </is>
      </c>
      <c r="D356" s="64" t="inlineStr">
        <is>
          <t>RER</t>
        </is>
      </c>
      <c r="E356" s="64" t="inlineStr">
        <is>
          <t>unit</t>
        </is>
      </c>
      <c r="F356" s="64" t="n"/>
      <c r="G356" s="64" t="inlineStr">
        <is>
          <t>technosphere</t>
        </is>
      </c>
      <c r="H356" s="64" t="inlineStr">
        <is>
          <t>h2_electrolysis</t>
        </is>
      </c>
      <c r="I356" s="64" t="inlineStr">
        <is>
          <t>BoP, 20 years lifetime.</t>
        </is>
      </c>
      <c r="L356" s="12" t="n"/>
      <c r="M356" s="12" t="n"/>
      <c r="N356" s="12" t="n"/>
      <c r="O356" s="12" t="n"/>
      <c r="P356" s="12" t="n"/>
      <c r="Q356" s="12" t="n"/>
    </row>
    <row r="357" ht="15.6" customFormat="1" customHeight="1" s="8">
      <c r="A357" s="67" t="inlineStr">
        <is>
          <t>treatment of fuel cell stack, 1MWe, SOEC</t>
        </is>
      </c>
      <c r="B357" s="67" t="n">
        <v>-2.648305084745763e-07</v>
      </c>
      <c r="C357" s="64" t="inlineStr">
        <is>
          <t>used fuel cell stack, 1MWe, SOEC</t>
        </is>
      </c>
      <c r="D357" s="64" t="inlineStr">
        <is>
          <t>RER</t>
        </is>
      </c>
      <c r="E357" s="64" t="inlineStr">
        <is>
          <t>unit</t>
        </is>
      </c>
      <c r="F357" s="64" t="n"/>
      <c r="G357" s="64" t="inlineStr">
        <is>
          <t>technosphere</t>
        </is>
      </c>
      <c r="H357" s="64" t="inlineStr">
        <is>
          <t>h2_electrolysis</t>
        </is>
      </c>
      <c r="I357" s="64" t="inlineStr">
        <is>
          <t>Stack EoL</t>
        </is>
      </c>
      <c r="L357" s="12" t="n"/>
      <c r="M357" s="12" t="n"/>
      <c r="N357" s="12" t="n"/>
      <c r="O357" s="12" t="n"/>
      <c r="P357" s="12" t="n"/>
      <c r="Q357" s="12" t="n"/>
    </row>
    <row r="358" ht="15.6" customFormat="1" customHeight="1" s="8">
      <c r="A358" s="67" t="inlineStr">
        <is>
          <t>treatment of fuel cell balance of plant, 1MWe, SOEC</t>
        </is>
      </c>
      <c r="B358" s="67" t="n">
        <v>-2.648305084745763e-07</v>
      </c>
      <c r="C358" s="64" t="inlineStr">
        <is>
          <t>used fuel cell balance of plant, 1MWe, SOEC</t>
        </is>
      </c>
      <c r="D358" s="64" t="inlineStr">
        <is>
          <t>RER</t>
        </is>
      </c>
      <c r="E358" s="64" t="inlineStr">
        <is>
          <t>unit</t>
        </is>
      </c>
      <c r="F358" s="64" t="n"/>
      <c r="G358" s="64" t="inlineStr">
        <is>
          <t>technosphere</t>
        </is>
      </c>
      <c r="H358" s="64" t="inlineStr">
        <is>
          <t>h2_electrolysis</t>
        </is>
      </c>
      <c r="I358" s="64" t="inlineStr">
        <is>
          <t>BoP EoL</t>
        </is>
      </c>
      <c r="L358" s="12" t="n"/>
      <c r="M358" s="12" t="n"/>
      <c r="N358" s="12" t="n"/>
      <c r="O358" s="12" t="n"/>
      <c r="P358" s="12" t="n"/>
      <c r="Q358" s="12" t="n"/>
    </row>
    <row r="359" ht="15.6" customFormat="1" customHeight="1" s="8">
      <c r="A359" s="66" t="inlineStr">
        <is>
          <t>Electricity, low voltage, at grid</t>
        </is>
      </c>
      <c r="B359" s="70" t="n">
        <v>39</v>
      </c>
      <c r="C359" s="64" t="inlineStr">
        <is>
          <t>Electricity, low voltage, at grid</t>
        </is>
      </c>
      <c r="D359" s="64" t="inlineStr">
        <is>
          <t>CH</t>
        </is>
      </c>
      <c r="E359" s="64" t="inlineStr">
        <is>
          <t>kilowatt hour</t>
        </is>
      </c>
      <c r="F359" s="65" t="n"/>
      <c r="G359" s="64" t="inlineStr">
        <is>
          <t>technosphere</t>
        </is>
      </c>
      <c r="H359" s="64" t="inlineStr">
        <is>
          <t>bafu</t>
        </is>
      </c>
      <c r="I359" s="65" t="inlineStr">
        <is>
          <t>Electricity consumption with 85% eff if steam input, otherwise, 78.7%.</t>
        </is>
      </c>
      <c r="L359" s="12" t="n"/>
      <c r="M359" s="12" t="n"/>
      <c r="N359" s="12" t="n"/>
      <c r="O359" s="12" t="n"/>
      <c r="P359" s="12" t="n"/>
      <c r="Q359" s="12" t="n"/>
    </row>
    <row r="360" ht="15.6" customFormat="1" customHeight="1" s="8">
      <c r="A360" s="66" t="inlineStr">
        <is>
          <t>Heat, from natural gas</t>
        </is>
      </c>
      <c r="B360" s="70" t="n">
        <v>16</v>
      </c>
      <c r="C360" s="64" t="inlineStr">
        <is>
          <t>Heat, from natural gas</t>
        </is>
      </c>
      <c r="D360" s="64" t="inlineStr">
        <is>
          <t>CH</t>
        </is>
      </c>
      <c r="E360" s="64" t="inlineStr">
        <is>
          <t>megajoule</t>
        </is>
      </c>
      <c r="F360" s="65" t="n"/>
      <c r="G360" s="64" t="inlineStr">
        <is>
          <t>technosphere</t>
        </is>
      </c>
      <c r="H360" s="64" t="inlineStr">
        <is>
          <t>bafu</t>
        </is>
      </c>
      <c r="I360" s="65" t="inlineStr">
        <is>
          <t>5.24 kWh heat needed/kg H2. Can also be excess heat.</t>
        </is>
      </c>
      <c r="L360" s="12" t="n"/>
      <c r="M360" s="12" t="n"/>
      <c r="N360" s="12" t="n"/>
      <c r="O360" s="12" t="n"/>
      <c r="P360" s="12" t="n"/>
      <c r="Q360" s="12" t="n"/>
    </row>
    <row r="361" ht="15.6" customFormat="1" customHeight="1" s="8">
      <c r="A361" s="66" t="inlineStr">
        <is>
          <t>Water, deionised, at plant</t>
        </is>
      </c>
      <c r="B361" s="70" t="n">
        <v>14</v>
      </c>
      <c r="C361" s="64" t="inlineStr">
        <is>
          <t>Water, deionised, at plant</t>
        </is>
      </c>
      <c r="D361" s="64" t="inlineStr">
        <is>
          <t>CH</t>
        </is>
      </c>
      <c r="E361" s="64" t="inlineStr">
        <is>
          <t>kilogram</t>
        </is>
      </c>
      <c r="F361" s="64" t="n"/>
      <c r="G361" s="64" t="inlineStr">
        <is>
          <t>technosphere</t>
        </is>
      </c>
      <c r="H361" s="64" t="inlineStr">
        <is>
          <t>bafu</t>
        </is>
      </c>
      <c r="I361" s="71" t="inlineStr">
        <is>
          <t xml:space="preserve">A perfect reaction of H2O results in 1 kg H2 and 8 kg O2, and needs 9 kg H2O, however, considering some losses we assume 14 kg H2O (Simoes et al., 2021). </t>
        </is>
      </c>
      <c r="L361" s="12" t="n"/>
      <c r="M361" s="12" t="n"/>
      <c r="N361" s="12" t="n"/>
      <c r="O361" s="12" t="n"/>
      <c r="P361" s="12" t="n"/>
      <c r="Q361" s="12" t="n"/>
    </row>
    <row r="362" ht="15.6" customFormat="1" customHeight="1" s="8">
      <c r="A362" s="74" t="inlineStr">
        <is>
          <t>Oxygen</t>
        </is>
      </c>
      <c r="B362" s="90" t="n">
        <v>8</v>
      </c>
      <c r="C362" s="74" t="n"/>
      <c r="D362" s="74" t="n"/>
      <c r="E362" s="74" t="inlineStr">
        <is>
          <t>kilogram</t>
        </is>
      </c>
      <c r="F362" s="74" t="inlineStr">
        <is>
          <t>air</t>
        </is>
      </c>
      <c r="G362" s="74" t="inlineStr">
        <is>
          <t>biosphere</t>
        </is>
      </c>
      <c r="H362" s="74" t="inlineStr">
        <is>
          <t>biosphere3</t>
        </is>
      </c>
      <c r="I362" s="74" t="n"/>
      <c r="L362" s="12" t="n"/>
      <c r="M362" s="12" t="n"/>
      <c r="N362" s="12" t="n"/>
      <c r="O362" s="12" t="n"/>
      <c r="P362" s="12" t="n"/>
      <c r="Q362" s="12" t="n"/>
      <c r="R362" s="12" t="n"/>
    </row>
    <row r="363" ht="15.6" customFormat="1" customHeight="1" s="8">
      <c r="A363" s="74" t="inlineStr">
        <is>
          <t>Occupation, industrial area</t>
        </is>
      </c>
      <c r="B363" s="67" t="n">
        <v>0.0002648305084745763</v>
      </c>
      <c r="C363" s="64" t="n"/>
      <c r="D363" s="74" t="n"/>
      <c r="E363" s="74" t="inlineStr">
        <is>
          <t>square meter-year</t>
        </is>
      </c>
      <c r="F363" s="74" t="inlineStr">
        <is>
          <t>natural resource::land</t>
        </is>
      </c>
      <c r="G363" s="74" t="inlineStr">
        <is>
          <t>biosphere</t>
        </is>
      </c>
      <c r="H363" s="74" t="inlineStr">
        <is>
          <t>biosphere3</t>
        </is>
      </c>
      <c r="I363" s="74" t="inlineStr">
        <is>
          <t>Electrolyser land footprint: (0.02 [m2/kW]*1000[kW/MW])/(3776000[kg H2 per lifetime]/20[years])</t>
        </is>
      </c>
      <c r="J363" s="8" t="n">
        <v>2</v>
      </c>
      <c r="K363" t="n">
        <v>-8.236420527265391</v>
      </c>
      <c r="L363" s="12" t="n">
        <v>1.05</v>
      </c>
      <c r="M363" s="12" t="n">
        <v>1.1</v>
      </c>
      <c r="N363" s="12" t="n">
        <v>1</v>
      </c>
      <c r="O363" s="12" t="n">
        <v>1.02</v>
      </c>
      <c r="P363" s="12" t="n">
        <v>1.2</v>
      </c>
      <c r="Q363" s="12" t="n">
        <v>1.2</v>
      </c>
      <c r="R363" s="12" t="n">
        <v>1.5</v>
      </c>
      <c r="S363" t="n">
        <v>0.2463437174856263</v>
      </c>
    </row>
    <row r="364" ht="15.6" customFormat="1" customHeight="1" s="8">
      <c r="A364" s="74" t="inlineStr">
        <is>
          <t>Transformation, from industrial area</t>
        </is>
      </c>
      <c r="B364" s="67" t="n">
        <v>1.324152542372881e-05</v>
      </c>
      <c r="C364" s="64" t="n"/>
      <c r="D364" s="74" t="n"/>
      <c r="E364" s="74" t="inlineStr">
        <is>
          <t>square meter</t>
        </is>
      </c>
      <c r="F364" s="74" t="inlineStr">
        <is>
          <t>natural resource::land</t>
        </is>
      </c>
      <c r="G364" s="74" t="inlineStr">
        <is>
          <t>biosphere</t>
        </is>
      </c>
      <c r="H364" s="74" t="inlineStr">
        <is>
          <t>biosphere3</t>
        </is>
      </c>
      <c r="I364" s="74" t="inlineStr">
        <is>
          <t>Electrolyser land transformation: (0.02 [m2/kW]*1000 [kW/MW])/3776000 [kg H2]</t>
        </is>
      </c>
      <c r="J364" s="8" t="n">
        <v>2</v>
      </c>
      <c r="K364" t="n">
        <v>-11.23215280081938</v>
      </c>
      <c r="L364" s="12" t="n">
        <v>1.05</v>
      </c>
      <c r="M364" s="12" t="n">
        <v>1.1</v>
      </c>
      <c r="N364" s="12" t="n">
        <v>1</v>
      </c>
      <c r="O364" s="12" t="n">
        <v>1.02</v>
      </c>
      <c r="P364" s="12" t="n">
        <v>1.2</v>
      </c>
      <c r="Q364" s="12" t="n">
        <v>1.2</v>
      </c>
      <c r="R364" s="12" t="n">
        <v>1.5</v>
      </c>
      <c r="S364" t="n">
        <v>0.2463437174856263</v>
      </c>
    </row>
    <row r="365" ht="15.6" customFormat="1" customHeight="1" s="8">
      <c r="A365" s="74" t="inlineStr">
        <is>
          <t>Transformation, to industrial area</t>
        </is>
      </c>
      <c r="B365" s="67" t="n">
        <v>1.324152542372881e-05</v>
      </c>
      <c r="C365" s="64" t="n"/>
      <c r="D365" s="74" t="n"/>
      <c r="E365" s="74" t="inlineStr">
        <is>
          <t>square meter</t>
        </is>
      </c>
      <c r="F365" s="74" t="inlineStr">
        <is>
          <t>natural resource::land</t>
        </is>
      </c>
      <c r="G365" s="74" t="inlineStr">
        <is>
          <t>biosphere</t>
        </is>
      </c>
      <c r="H365" s="74" t="inlineStr">
        <is>
          <t>biosphere3</t>
        </is>
      </c>
      <c r="I365" s="74" t="inlineStr">
        <is>
          <t>Electrolyser land transformation: (0.02 [m2/kW]*1000 [kW/MW])/3776000 [kg H2]</t>
        </is>
      </c>
      <c r="J365" s="8" t="n">
        <v>2</v>
      </c>
      <c r="K365" t="n">
        <v>-11.23215280081938</v>
      </c>
      <c r="L365" s="12" t="n">
        <v>1.05</v>
      </c>
      <c r="M365" s="12" t="n">
        <v>1.1</v>
      </c>
      <c r="N365" s="12" t="n">
        <v>1</v>
      </c>
      <c r="O365" s="12" t="n">
        <v>1.02</v>
      </c>
      <c r="P365" s="12" t="n">
        <v>1.2</v>
      </c>
      <c r="Q365" s="12" t="n">
        <v>1.2</v>
      </c>
      <c r="R365" s="12" t="n">
        <v>1.5</v>
      </c>
      <c r="S365" t="n">
        <v>0.2463437174856263</v>
      </c>
    </row>
    <row r="366" ht="15" customFormat="1" customHeight="1" s="8">
      <c r="B366" s="9" t="n"/>
      <c r="L366" s="9" t="n"/>
      <c r="M366" s="9" t="n"/>
      <c r="N366" s="9" t="n"/>
      <c r="O366" s="9" t="n"/>
      <c r="P366" s="9" t="n"/>
      <c r="Q366" s="9" t="n"/>
    </row>
    <row r="367" ht="15.6" customFormat="1" customHeight="1" s="8">
      <c r="A367" s="63" t="inlineStr">
        <is>
          <t>Activity</t>
        </is>
      </c>
      <c r="B367" s="88" t="inlineStr">
        <is>
          <t>electrolyzer production, 1MWe, SOEC, Stack</t>
        </is>
      </c>
      <c r="C367" s="64" t="n"/>
      <c r="D367" s="64" t="n"/>
      <c r="E367" s="64" t="n"/>
      <c r="F367" s="64" t="n"/>
      <c r="G367" s="64" t="n"/>
      <c r="H367" s="64" t="n"/>
      <c r="I367" s="64" t="n"/>
      <c r="L367" s="9" t="n"/>
      <c r="M367" s="9" t="n"/>
      <c r="N367" s="9" t="n"/>
      <c r="O367" s="9" t="n"/>
      <c r="P367" s="9" t="n"/>
      <c r="Q367" s="9" t="n"/>
    </row>
    <row r="368" ht="15" customFormat="1" customHeight="1" s="8">
      <c r="A368" s="66" t="inlineStr">
        <is>
          <t>production amount</t>
        </is>
      </c>
      <c r="B368" s="89" t="n">
        <v>1</v>
      </c>
      <c r="C368" s="64" t="n"/>
      <c r="D368" s="64" t="n"/>
      <c r="E368" s="64" t="n"/>
      <c r="F368" s="64" t="n"/>
      <c r="G368" s="64" t="n"/>
      <c r="H368" s="64" t="n"/>
      <c r="I368" s="64" t="n"/>
      <c r="L368" s="9" t="n"/>
      <c r="M368" s="9" t="n"/>
      <c r="N368" s="9" t="n"/>
      <c r="O368" s="9" t="n"/>
      <c r="P368" s="9" t="n"/>
      <c r="Q368" s="9" t="n"/>
    </row>
    <row r="369" ht="15" customFormat="1" customHeight="1" s="8">
      <c r="A369" s="66" t="inlineStr">
        <is>
          <t>comment</t>
        </is>
      </c>
      <c r="B369" s="89" t="inlineStr">
        <is>
          <t xml:space="preserve">1 MWe Solid Oxide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Produced amount of H2 over 20 years: 3779894.18 kg. Amounts of lanthanum oxide and strontium carbonate are unsure. </t>
        </is>
      </c>
      <c r="C369" s="64" t="n"/>
      <c r="D369" s="64" t="n"/>
      <c r="E369" s="64" t="n"/>
      <c r="F369" s="64" t="n"/>
      <c r="G369" s="64" t="n"/>
      <c r="H369" s="64" t="n"/>
      <c r="I369" s="64" t="n"/>
      <c r="L369" s="9" t="n"/>
      <c r="M369" s="9" t="n"/>
      <c r="N369" s="9" t="n"/>
      <c r="O369" s="9" t="n"/>
      <c r="P369" s="9" t="n"/>
      <c r="Q369" s="9" t="n"/>
    </row>
    <row r="370" ht="15" customFormat="1" customHeight="1" s="8">
      <c r="A370" s="66" t="inlineStr">
        <is>
          <t>reference product</t>
        </is>
      </c>
      <c r="B370" s="70" t="inlineStr">
        <is>
          <t>electrolyzer, 1MWe, SOEC, Stack</t>
        </is>
      </c>
      <c r="C370" s="64" t="n"/>
      <c r="D370" s="64" t="n"/>
      <c r="E370" s="64" t="n"/>
      <c r="F370" s="64" t="n"/>
      <c r="G370" s="64" t="n"/>
      <c r="H370" s="64" t="n"/>
      <c r="I370" s="64" t="n"/>
      <c r="L370" s="9" t="n"/>
      <c r="M370" s="9" t="n"/>
      <c r="N370" s="9" t="n"/>
      <c r="O370" s="9" t="n"/>
      <c r="P370" s="9" t="n"/>
      <c r="Q370" s="9" t="n"/>
    </row>
    <row r="371" ht="15" customFormat="1" customHeight="1" s="8">
      <c r="A371" s="66" t="inlineStr">
        <is>
          <t>location</t>
        </is>
      </c>
      <c r="B371" s="89" t="inlineStr">
        <is>
          <t>RER</t>
        </is>
      </c>
      <c r="C371" s="64" t="n"/>
      <c r="D371" s="64" t="n"/>
      <c r="E371" s="64" t="n"/>
      <c r="F371" s="64" t="n"/>
      <c r="G371" s="64" t="n"/>
      <c r="H371" s="64" t="n"/>
      <c r="I371" s="64" t="n"/>
      <c r="L371" s="9" t="n"/>
      <c r="M371" s="9" t="n"/>
      <c r="N371" s="9" t="n"/>
      <c r="O371" s="9" t="n"/>
      <c r="P371" s="9" t="n"/>
      <c r="Q371" s="9" t="n"/>
    </row>
    <row r="372" ht="15" customFormat="1" customHeight="1" s="8">
      <c r="A372" s="66" t="inlineStr">
        <is>
          <t>unit</t>
        </is>
      </c>
      <c r="B372" s="70" t="inlineStr">
        <is>
          <t>unit</t>
        </is>
      </c>
      <c r="C372" s="64" t="n"/>
      <c r="D372" s="64" t="n"/>
      <c r="E372" s="64" t="n"/>
      <c r="F372" s="64" t="n"/>
      <c r="G372" s="64" t="n"/>
      <c r="H372" s="64" t="n"/>
      <c r="I372" s="64" t="n"/>
      <c r="L372" s="9" t="n"/>
      <c r="M372" s="9" t="n"/>
      <c r="N372" s="9" t="n"/>
      <c r="O372" s="9" t="n"/>
      <c r="P372" s="9" t="n"/>
      <c r="Q372" s="9" t="n"/>
    </row>
    <row r="373" ht="15.6" customFormat="1" customHeight="1" s="8">
      <c r="A373" s="68" t="inlineStr">
        <is>
          <t>Exchanges</t>
        </is>
      </c>
      <c r="B373" s="88" t="n"/>
      <c r="C373" s="68" t="n"/>
      <c r="D373" s="68" t="n"/>
      <c r="E373" s="68" t="n"/>
      <c r="F373" s="68" t="n"/>
      <c r="G373" s="68" t="n"/>
      <c r="H373" s="68" t="n"/>
      <c r="I373" s="68" t="n"/>
      <c r="J373" s="10" t="n"/>
      <c r="K373" s="10" t="n"/>
      <c r="L373" s="9" t="n"/>
      <c r="M373" s="9" t="n"/>
      <c r="N373" s="9" t="n"/>
      <c r="O373" s="9" t="n"/>
      <c r="P373" s="9" t="n"/>
      <c r="Q373" s="9" t="n"/>
    </row>
    <row r="374" ht="15.6" customFormat="1" customHeight="1" s="8">
      <c r="A374" s="68" t="inlineStr">
        <is>
          <t>name</t>
        </is>
      </c>
      <c r="B374" s="88" t="inlineStr">
        <is>
          <t>amount</t>
        </is>
      </c>
      <c r="C374" s="68" t="inlineStr">
        <is>
          <t>reference product</t>
        </is>
      </c>
      <c r="D374" s="68" t="inlineStr">
        <is>
          <t>location</t>
        </is>
      </c>
      <c r="E374" s="68" t="inlineStr">
        <is>
          <t>unit</t>
        </is>
      </c>
      <c r="F374" s="69" t="inlineStr">
        <is>
          <t>categories</t>
        </is>
      </c>
      <c r="G374" s="68" t="inlineStr">
        <is>
          <t>type</t>
        </is>
      </c>
      <c r="H374" s="67" t="inlineStr">
        <is>
          <t>database</t>
        </is>
      </c>
      <c r="I374" s="69" t="inlineStr">
        <is>
          <t>comment</t>
        </is>
      </c>
      <c r="J374" s="10" t="n"/>
      <c r="K374" s="6" t="n"/>
      <c r="L374" s="11" t="n"/>
      <c r="M374" s="11" t="n"/>
      <c r="N374" s="11" t="n"/>
      <c r="O374" s="11" t="n"/>
      <c r="P374" s="11" t="n"/>
      <c r="Q374" s="11" t="n"/>
      <c r="R374" s="6" t="n"/>
      <c r="S374" s="6" t="n"/>
      <c r="T374" s="10" t="n"/>
      <c r="U374" s="6" t="n"/>
    </row>
    <row r="375" ht="15" customFormat="1" customHeight="1" s="8">
      <c r="A375" s="67" t="inlineStr">
        <is>
          <t>electrolyzer production, 1MWe, SOEC, Stack</t>
        </is>
      </c>
      <c r="B375" s="70" t="n">
        <v>1</v>
      </c>
      <c r="C375" s="64" t="inlineStr">
        <is>
          <t>electrolyzer, 1MWe, SOEC, Stack</t>
        </is>
      </c>
      <c r="D375" s="64" t="inlineStr">
        <is>
          <t>RER</t>
        </is>
      </c>
      <c r="E375" s="64" t="inlineStr">
        <is>
          <t>unit</t>
        </is>
      </c>
      <c r="F375" s="64" t="n"/>
      <c r="G375" s="64" t="inlineStr">
        <is>
          <t>production</t>
        </is>
      </c>
      <c r="H375" s="67" t="inlineStr">
        <is>
          <t>h2_electrolysis</t>
        </is>
      </c>
      <c r="I375" s="64" t="n"/>
      <c r="L375" s="9" t="n"/>
      <c r="M375" s="9" t="n"/>
      <c r="N375" s="9" t="n"/>
      <c r="O375" s="9" t="n"/>
      <c r="P375" s="9" t="n"/>
      <c r="Q375" s="9" t="n"/>
    </row>
    <row r="376" ht="15.6" customFormat="1" customHeight="1" s="8">
      <c r="A376" s="64" t="inlineStr">
        <is>
          <t>Sheet rolling, chromium steel</t>
        </is>
      </c>
      <c r="B376" s="70" t="n">
        <v>8976.1</v>
      </c>
      <c r="C376" s="64" t="inlineStr">
        <is>
          <t>Sheet rolling, chromium steel</t>
        </is>
      </c>
      <c r="D376" s="64" t="inlineStr">
        <is>
          <t>RER</t>
        </is>
      </c>
      <c r="E376" s="64" t="inlineStr">
        <is>
          <t>kilogram</t>
        </is>
      </c>
      <c r="F376" s="64" t="n"/>
      <c r="G376" s="64" t="inlineStr">
        <is>
          <t>technosphere</t>
        </is>
      </c>
      <c r="H376" s="64" t="inlineStr">
        <is>
          <t>bafu</t>
        </is>
      </c>
      <c r="I376" s="64" t="inlineStr">
        <is>
          <t>air electrode</t>
        </is>
      </c>
      <c r="L376" s="12" t="n"/>
      <c r="M376" s="12" t="n"/>
      <c r="N376" s="12" t="n"/>
      <c r="O376" s="12" t="n"/>
      <c r="P376" s="12" t="n"/>
      <c r="Q376" s="12" t="n"/>
    </row>
    <row r="377" ht="15.6" customFormat="1" customHeight="1" s="8">
      <c r="A377" s="64" t="inlineStr">
        <is>
          <t>Chromium steel 18/8, at plant</t>
        </is>
      </c>
      <c r="B377" s="70" t="n">
        <v>8976.1</v>
      </c>
      <c r="C377" s="64" t="inlineStr">
        <is>
          <t>Chromium steel 18/8, at plant</t>
        </is>
      </c>
      <c r="D377" s="64" t="inlineStr">
        <is>
          <t>RER</t>
        </is>
      </c>
      <c r="E377" s="64" t="inlineStr">
        <is>
          <t>kilogram</t>
        </is>
      </c>
      <c r="F377" s="64" t="n"/>
      <c r="G377" s="64" t="inlineStr">
        <is>
          <t>technosphere</t>
        </is>
      </c>
      <c r="H377" s="64" t="inlineStr">
        <is>
          <t>bafu</t>
        </is>
      </c>
      <c r="I377" s="64" t="inlineStr">
        <is>
          <t>air electrode</t>
        </is>
      </c>
      <c r="L377" s="12" t="n"/>
      <c r="M377" s="12" t="n"/>
      <c r="N377" s="12" t="n"/>
      <c r="O377" s="12" t="n"/>
      <c r="P377" s="12" t="n"/>
      <c r="Q377" s="12" t="n"/>
    </row>
    <row r="378" ht="15.6" customFormat="1" customHeight="1" s="8">
      <c r="A378" s="64" t="inlineStr">
        <is>
          <t>xx Praseodymium oxide, at plant</t>
        </is>
      </c>
      <c r="B378" s="70" t="n">
        <v>9</v>
      </c>
      <c r="C378" s="64" t="inlineStr">
        <is>
          <t>xx Praseodymium oxide, at plant</t>
        </is>
      </c>
      <c r="D378" s="64" t="inlineStr">
        <is>
          <t>CN</t>
        </is>
      </c>
      <c r="E378" s="64" t="inlineStr">
        <is>
          <t>kilogram</t>
        </is>
      </c>
      <c r="F378" s="64" t="n"/>
      <c r="G378" s="64" t="inlineStr">
        <is>
          <t>technosphere</t>
        </is>
      </c>
      <c r="H378" s="64" t="inlineStr">
        <is>
          <t>bafu</t>
        </is>
      </c>
      <c r="I378" s="64" t="inlineStr">
        <is>
          <t>screen printing</t>
        </is>
      </c>
      <c r="L378" s="12" t="n"/>
      <c r="M378" s="12" t="n"/>
      <c r="N378" s="12" t="n"/>
      <c r="O378" s="12" t="n"/>
      <c r="P378" s="12" t="n"/>
      <c r="Q378" s="12" t="n"/>
    </row>
    <row r="379" ht="15.6" customFormat="1" customHeight="1" s="8">
      <c r="A379" s="64" t="inlineStr">
        <is>
          <t>Nickel, 99.5%, at plant</t>
        </is>
      </c>
      <c r="B379" s="70" t="n">
        <v>7.5</v>
      </c>
      <c r="C379" s="64" t="inlineStr">
        <is>
          <t>Nickel, 99.5%, at plant</t>
        </is>
      </c>
      <c r="D379" s="64" t="inlineStr">
        <is>
          <t>GLO</t>
        </is>
      </c>
      <c r="E379" s="64" t="inlineStr">
        <is>
          <t>kilogram</t>
        </is>
      </c>
      <c r="F379" s="64" t="n"/>
      <c r="G379" s="64" t="inlineStr">
        <is>
          <t>technosphere</t>
        </is>
      </c>
      <c r="H379" s="64" t="inlineStr">
        <is>
          <t>bafu</t>
        </is>
      </c>
      <c r="I379" s="64" t="inlineStr">
        <is>
          <t>screen printing</t>
        </is>
      </c>
      <c r="L379" s="12" t="n"/>
      <c r="M379" s="12" t="n"/>
      <c r="N379" s="12" t="n"/>
      <c r="O379" s="12" t="n"/>
      <c r="P379" s="12" t="n"/>
      <c r="Q379" s="12" t="n"/>
    </row>
    <row r="380" ht="15.6" customFormat="1" customHeight="1" s="8">
      <c r="A380" s="64" t="inlineStr">
        <is>
          <t>Zirconium oxide, at plant</t>
        </is>
      </c>
      <c r="B380" s="70" t="n">
        <v>170.7</v>
      </c>
      <c r="C380" s="64" t="inlineStr">
        <is>
          <t>Zirconium oxide, at plant</t>
        </is>
      </c>
      <c r="D380" s="64" t="inlineStr">
        <is>
          <t>AU</t>
        </is>
      </c>
      <c r="E380" s="64" t="inlineStr">
        <is>
          <t>kilogram</t>
        </is>
      </c>
      <c r="F380" s="64" t="n"/>
      <c r="G380" s="64" t="inlineStr">
        <is>
          <t>technosphere</t>
        </is>
      </c>
      <c r="H380" s="64" t="inlineStr">
        <is>
          <t>bafu</t>
        </is>
      </c>
      <c r="I380" s="64" t="inlineStr">
        <is>
          <t>blocking layer</t>
        </is>
      </c>
      <c r="L380" s="12" t="n"/>
      <c r="M380" s="12" t="n"/>
      <c r="N380" s="12" t="n"/>
      <c r="O380" s="12" t="n"/>
      <c r="P380" s="12" t="n"/>
      <c r="Q380" s="12" t="n"/>
    </row>
    <row r="381" ht="15.6" customFormat="1" customHeight="1" s="8">
      <c r="A381" s="64" t="inlineStr">
        <is>
          <t>xx Samarium europium gadolinium concentrate, 94% rare earth oxide, at plant</t>
        </is>
      </c>
      <c r="B381" s="70" t="n">
        <v>14.8</v>
      </c>
      <c r="C381" s="64" t="inlineStr">
        <is>
          <t>xx Samarium europium gadolinium concentrate, 94% rare earth oxide, at plant</t>
        </is>
      </c>
      <c r="D381" s="64" t="inlineStr">
        <is>
          <t>CN</t>
        </is>
      </c>
      <c r="E381" s="64" t="inlineStr">
        <is>
          <t>kilogram</t>
        </is>
      </c>
      <c r="F381" s="64" t="n"/>
      <c r="G381" s="64" t="inlineStr">
        <is>
          <t>technosphere</t>
        </is>
      </c>
      <c r="H381" s="64" t="inlineStr">
        <is>
          <t>bafu</t>
        </is>
      </c>
      <c r="I381" s="64" t="inlineStr">
        <is>
          <t>blocking layer</t>
        </is>
      </c>
      <c r="L381" s="12" t="n"/>
      <c r="M381" s="12" t="n"/>
      <c r="N381" s="12" t="n"/>
      <c r="O381" s="12" t="n"/>
      <c r="P381" s="12" t="n"/>
      <c r="Q381" s="12" t="n"/>
    </row>
    <row r="382" ht="15.6" customFormat="1" customHeight="1" s="8">
      <c r="A382" s="64" t="inlineStr">
        <is>
          <t>Cerium concentrate, 60% cerium oxide, at plant</t>
        </is>
      </c>
      <c r="B382" s="70" t="n">
        <v>91.5</v>
      </c>
      <c r="C382" s="64" t="inlineStr">
        <is>
          <t>Cerium concentrate, 60% cerium oxide, at plant</t>
        </is>
      </c>
      <c r="D382" s="64" t="inlineStr">
        <is>
          <t>CN</t>
        </is>
      </c>
      <c r="E382" s="64" t="inlineStr">
        <is>
          <t>kilogram</t>
        </is>
      </c>
      <c r="F382" s="64" t="n"/>
      <c r="G382" s="64" t="inlineStr">
        <is>
          <t>technosphere</t>
        </is>
      </c>
      <c r="H382" s="64" t="inlineStr">
        <is>
          <t>bafu</t>
        </is>
      </c>
      <c r="I382" s="64" t="inlineStr">
        <is>
          <t>screen printing</t>
        </is>
      </c>
      <c r="L382" s="12" t="n"/>
      <c r="M382" s="12" t="n"/>
      <c r="N382" s="12" t="n"/>
      <c r="O382" s="12" t="n"/>
      <c r="P382" s="12" t="n"/>
      <c r="Q382" s="12" t="n"/>
    </row>
    <row r="383" ht="15.6" customFormat="1" customHeight="1" s="8">
      <c r="A383" s="64" t="inlineStr">
        <is>
          <t>xx Samarium europium gadolinium concentrate, 94% rare earth oxide, at plant</t>
        </is>
      </c>
      <c r="B383" s="70" t="n">
        <v>22.9</v>
      </c>
      <c r="C383" s="64" t="inlineStr">
        <is>
          <t>xx Samarium europium gadolinium concentrate, 94% rare earth oxide, at plant</t>
        </is>
      </c>
      <c r="D383" s="64" t="inlineStr">
        <is>
          <t>CN</t>
        </is>
      </c>
      <c r="E383" s="64" t="inlineStr">
        <is>
          <t>kilogram</t>
        </is>
      </c>
      <c r="F383" s="64" t="n"/>
      <c r="G383" s="64" t="inlineStr">
        <is>
          <t>technosphere</t>
        </is>
      </c>
      <c r="H383" s="64" t="inlineStr">
        <is>
          <t>bafu</t>
        </is>
      </c>
      <c r="I383" s="64" t="inlineStr">
        <is>
          <t>screen printing</t>
        </is>
      </c>
      <c r="L383" s="12" t="n"/>
      <c r="M383" s="12" t="n"/>
      <c r="N383" s="12" t="n"/>
      <c r="O383" s="12" t="n"/>
      <c r="P383" s="12" t="n"/>
      <c r="Q383" s="12" t="n"/>
    </row>
    <row r="384" ht="15.6" customFormat="1" customHeight="1" s="8">
      <c r="A384" s="64" t="inlineStr">
        <is>
          <t>Lanthanum oxide, at plant</t>
        </is>
      </c>
      <c r="B384" s="70" t="n">
        <v>21</v>
      </c>
      <c r="C384" s="64" t="inlineStr">
        <is>
          <t>Lanthanum oxide, at plant</t>
        </is>
      </c>
      <c r="D384" s="64" t="inlineStr">
        <is>
          <t>CN</t>
        </is>
      </c>
      <c r="E384" s="64" t="inlineStr">
        <is>
          <t>kilogram</t>
        </is>
      </c>
      <c r="F384" s="64" t="n"/>
      <c r="G384" s="64" t="inlineStr">
        <is>
          <t>technosphere</t>
        </is>
      </c>
      <c r="H384" s="64" t="inlineStr">
        <is>
          <t>bafu</t>
        </is>
      </c>
      <c r="I384" s="64" t="inlineStr">
        <is>
          <t>electrolyte - to check</t>
        </is>
      </c>
      <c r="L384" s="12" t="n"/>
      <c r="M384" s="12" t="n"/>
      <c r="N384" s="12" t="n"/>
      <c r="O384" s="12" t="n"/>
      <c r="P384" s="12" t="n"/>
      <c r="Q384" s="12" t="n"/>
    </row>
    <row r="385" ht="15.6" customFormat="1" customHeight="1" s="8">
      <c r="A385" s="64" t="inlineStr">
        <is>
          <t>Potassium carbonate, at plant</t>
        </is>
      </c>
      <c r="B385" s="70" t="n">
        <v>21</v>
      </c>
      <c r="C385" s="64" t="inlineStr">
        <is>
          <t>Potassium carbonate, at plant</t>
        </is>
      </c>
      <c r="D385" s="64" t="inlineStr">
        <is>
          <t>GLO</t>
        </is>
      </c>
      <c r="E385" s="64" t="inlineStr">
        <is>
          <t>kilogram</t>
        </is>
      </c>
      <c r="F385" s="64" t="n"/>
      <c r="G385" s="64" t="inlineStr">
        <is>
          <t>technosphere</t>
        </is>
      </c>
      <c r="H385" s="64" t="inlineStr">
        <is>
          <t>bafu</t>
        </is>
      </c>
      <c r="I385" s="64" t="inlineStr">
        <is>
          <t>electrolyte - to check</t>
        </is>
      </c>
      <c r="L385" s="12" t="n"/>
      <c r="M385" s="12" t="n"/>
      <c r="N385" s="12" t="n"/>
      <c r="O385" s="12" t="n"/>
      <c r="P385" s="12" t="n"/>
      <c r="Q385" s="12" t="n"/>
    </row>
    <row r="386" ht="15.6" customFormat="1" customHeight="1" s="8">
      <c r="A386" s="64" t="inlineStr">
        <is>
          <t>Aluminium oxide, at plant</t>
        </is>
      </c>
      <c r="B386" s="70" t="n">
        <v>6.4</v>
      </c>
      <c r="C386" s="64" t="inlineStr">
        <is>
          <t>Aluminium oxide, at plant</t>
        </is>
      </c>
      <c r="D386" s="64" t="inlineStr">
        <is>
          <t>RER</t>
        </is>
      </c>
      <c r="E386" s="64" t="inlineStr">
        <is>
          <t>kilogram</t>
        </is>
      </c>
      <c r="F386" s="64" t="n"/>
      <c r="G386" s="64" t="inlineStr">
        <is>
          <t>technosphere</t>
        </is>
      </c>
      <c r="H386" s="64" t="inlineStr">
        <is>
          <t>bafu</t>
        </is>
      </c>
      <c r="I386" s="64" t="inlineStr">
        <is>
          <t>electrolyte + H2 electrode</t>
        </is>
      </c>
      <c r="L386" s="12" t="n"/>
      <c r="M386" s="12" t="n"/>
      <c r="N386" s="12" t="n"/>
      <c r="O386" s="12" t="n"/>
      <c r="P386" s="12" t="n"/>
      <c r="Q386" s="12" t="n"/>
    </row>
    <row r="387" ht="15.6" customFormat="1" customHeight="1" s="8">
      <c r="A387" s="64" t="inlineStr">
        <is>
          <t>Boric oxide, at plant</t>
        </is>
      </c>
      <c r="B387" s="70" t="n">
        <v>6.4</v>
      </c>
      <c r="C387" s="64" t="inlineStr">
        <is>
          <t>Boric oxide, at plant</t>
        </is>
      </c>
      <c r="D387" s="64" t="inlineStr">
        <is>
          <t>GLO</t>
        </is>
      </c>
      <c r="E387" s="64" t="inlineStr">
        <is>
          <t>kilogram</t>
        </is>
      </c>
      <c r="F387" s="64" t="n"/>
      <c r="G387" s="64" t="inlineStr">
        <is>
          <t>technosphere</t>
        </is>
      </c>
      <c r="H387" s="64" t="inlineStr">
        <is>
          <t>bafu</t>
        </is>
      </c>
      <c r="I387" s="64" t="inlineStr">
        <is>
          <t>electrolyte + H2 electrode</t>
        </is>
      </c>
      <c r="L387" s="12" t="n"/>
      <c r="M387" s="12" t="n"/>
      <c r="N387" s="12" t="n"/>
      <c r="O387" s="12" t="n"/>
      <c r="P387" s="12" t="n"/>
      <c r="Q387" s="12" t="n"/>
    </row>
    <row r="388" ht="15.6" customFormat="1" customHeight="1" s="8">
      <c r="A388" s="64" t="inlineStr">
        <is>
          <t>Magnesium oxide, at plant</t>
        </is>
      </c>
      <c r="B388" s="70" t="n">
        <v>6.4</v>
      </c>
      <c r="C388" s="64" t="inlineStr">
        <is>
          <t>Magnesium oxide, at plant</t>
        </is>
      </c>
      <c r="D388" s="64" t="inlineStr">
        <is>
          <t>RER</t>
        </is>
      </c>
      <c r="E388" s="64" t="inlineStr">
        <is>
          <t>kilogram</t>
        </is>
      </c>
      <c r="F388" s="64" t="n"/>
      <c r="G388" s="64" t="inlineStr">
        <is>
          <t>technosphere</t>
        </is>
      </c>
      <c r="H388" s="64" t="inlineStr">
        <is>
          <t>bafu</t>
        </is>
      </c>
      <c r="I388" s="64" t="inlineStr">
        <is>
          <t>electrolyte + H2 electrode</t>
        </is>
      </c>
      <c r="L388" s="12" t="n"/>
      <c r="M388" s="12" t="n"/>
      <c r="N388" s="12" t="n"/>
      <c r="O388" s="12" t="n"/>
      <c r="P388" s="12" t="n"/>
      <c r="Q388" s="12" t="n"/>
    </row>
    <row r="389" ht="15.6" customFormat="1" customHeight="1" s="8">
      <c r="A389" s="64" t="inlineStr">
        <is>
          <t>Silicone product, at plant</t>
        </is>
      </c>
      <c r="B389" s="70" t="n">
        <v>6.4</v>
      </c>
      <c r="C389" s="64" t="inlineStr">
        <is>
          <t>Silicone product, at plant</t>
        </is>
      </c>
      <c r="D389" s="64" t="inlineStr">
        <is>
          <t>RER</t>
        </is>
      </c>
      <c r="E389" s="64" t="inlineStr">
        <is>
          <t>kilogram</t>
        </is>
      </c>
      <c r="F389" s="64" t="n"/>
      <c r="G389" s="64" t="inlineStr">
        <is>
          <t>technosphere</t>
        </is>
      </c>
      <c r="H389" s="64" t="inlineStr">
        <is>
          <t>bafu</t>
        </is>
      </c>
      <c r="I389" s="64" t="inlineStr">
        <is>
          <t>electrolyte + H2 electrode</t>
        </is>
      </c>
      <c r="L389" s="12" t="n"/>
      <c r="M389" s="12" t="n"/>
      <c r="N389" s="12" t="n"/>
      <c r="O389" s="12" t="n"/>
      <c r="P389" s="12" t="n"/>
      <c r="Q389" s="12" t="n"/>
    </row>
    <row r="390" ht="15.6" customFormat="1" customHeight="1" s="8">
      <c r="A390" s="64" t="inlineStr">
        <is>
          <t>Nickel, 99.5%, at plant</t>
        </is>
      </c>
      <c r="B390" s="70" t="n">
        <v>136.6</v>
      </c>
      <c r="C390" s="64" t="inlineStr">
        <is>
          <t>Nickel, 99.5%, at plant</t>
        </is>
      </c>
      <c r="D390" s="64" t="inlineStr">
        <is>
          <t>GLO</t>
        </is>
      </c>
      <c r="E390" s="64" t="inlineStr">
        <is>
          <t>kilogram</t>
        </is>
      </c>
      <c r="F390" s="64" t="n"/>
      <c r="G390" s="64" t="inlineStr">
        <is>
          <t>technosphere</t>
        </is>
      </c>
      <c r="H390" s="64" t="inlineStr">
        <is>
          <t>bafu</t>
        </is>
      </c>
      <c r="I390" s="64" t="inlineStr">
        <is>
          <t>firing of cell</t>
        </is>
      </c>
      <c r="L390" s="12" t="n"/>
      <c r="M390" s="12" t="n"/>
      <c r="N390" s="12" t="n"/>
      <c r="O390" s="12" t="n"/>
      <c r="P390" s="12" t="n"/>
      <c r="Q390" s="12" t="n"/>
    </row>
    <row r="391" ht="15.6" customFormat="1" customHeight="1" s="8">
      <c r="A391" s="64" t="inlineStr">
        <is>
          <t>Electricity, low voltage, at grid</t>
        </is>
      </c>
      <c r="B391" s="70" t="n">
        <v>122224.433</v>
      </c>
      <c r="C391" s="64" t="inlineStr">
        <is>
          <t>Electricity, low voltage, at grid</t>
        </is>
      </c>
      <c r="D391" s="64" t="inlineStr">
        <is>
          <t>GLO</t>
        </is>
      </c>
      <c r="E391" s="64" t="inlineStr">
        <is>
          <t>kilowatt hour</t>
        </is>
      </c>
      <c r="F391" s="64" t="n"/>
      <c r="G391" s="64" t="inlineStr">
        <is>
          <t>technosphere</t>
        </is>
      </c>
      <c r="H391" s="64" t="inlineStr">
        <is>
          <t>bafu</t>
        </is>
      </c>
      <c r="I391" s="64" t="inlineStr">
        <is>
          <t>assembly energy</t>
        </is>
      </c>
      <c r="L391" s="12" t="n"/>
      <c r="M391" s="12" t="n"/>
      <c r="N391" s="12" t="n"/>
      <c r="O391" s="12" t="n"/>
      <c r="P391" s="12" t="n"/>
      <c r="Q391" s="12" t="n"/>
    </row>
    <row r="392" ht="15" customFormat="1" customHeight="1" s="8">
      <c r="B392" s="9" t="n"/>
      <c r="C392" s="7" t="n"/>
      <c r="G392" s="7" t="n"/>
      <c r="H392" s="7" t="n"/>
      <c r="L392" s="9" t="n"/>
      <c r="M392" s="9" t="n"/>
      <c r="N392" s="9" t="n"/>
      <c r="O392" s="9" t="n"/>
      <c r="P392" s="9" t="n"/>
      <c r="Q392" s="9" t="n"/>
    </row>
    <row r="393" ht="15.6" customFormat="1" customHeight="1" s="8">
      <c r="A393" s="63" t="inlineStr">
        <is>
          <t>Activity</t>
        </is>
      </c>
      <c r="B393" s="88" t="inlineStr">
        <is>
          <t>treatment of fuel cell stack, 1MWe, SOEC</t>
        </is>
      </c>
      <c r="C393" s="64" t="n"/>
      <c r="D393" s="64" t="n"/>
      <c r="E393" s="64" t="n"/>
      <c r="F393" s="64" t="n"/>
      <c r="G393" s="64" t="n"/>
      <c r="H393" s="64" t="n"/>
      <c r="I393" s="64" t="n"/>
      <c r="L393" s="9" t="n"/>
      <c r="M393" s="9" t="n"/>
      <c r="N393" s="9" t="n"/>
      <c r="O393" s="9" t="n"/>
      <c r="P393" s="9" t="n"/>
      <c r="Q393" s="9" t="n"/>
    </row>
    <row r="394" ht="15" customFormat="1" customHeight="1" s="8">
      <c r="A394" s="66" t="inlineStr">
        <is>
          <t>production amount</t>
        </is>
      </c>
      <c r="B394" s="89" t="n">
        <v>1</v>
      </c>
      <c r="C394" s="64" t="n"/>
      <c r="D394" s="64" t="n"/>
      <c r="E394" s="64" t="n"/>
      <c r="F394" s="64" t="n"/>
      <c r="G394" s="64" t="n"/>
      <c r="H394" s="64" t="n"/>
      <c r="I394" s="64" t="n"/>
      <c r="L394" s="9" t="n"/>
      <c r="M394" s="9" t="n"/>
      <c r="N394" s="9" t="n"/>
      <c r="O394" s="9" t="n"/>
      <c r="P394" s="9" t="n"/>
      <c r="Q394" s="9" t="n"/>
    </row>
    <row r="395" ht="15" customFormat="1" customHeight="1" s="8">
      <c r="A395" s="66" t="inlineStr">
        <is>
          <t>comment</t>
        </is>
      </c>
      <c r="B395" s="89" t="inlineStr">
        <is>
          <t>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 Values have already been multiplied by 3 to reflect 2 stack replacements over 20 years of use.</t>
        </is>
      </c>
      <c r="C395" s="64" t="n"/>
      <c r="D395" s="64" t="n"/>
      <c r="E395" s="64" t="n"/>
      <c r="F395" s="64" t="n"/>
      <c r="G395" s="64" t="n"/>
      <c r="H395" s="64" t="n"/>
      <c r="I395" s="64" t="n"/>
      <c r="L395" s="9" t="n"/>
      <c r="M395" s="9" t="n"/>
      <c r="N395" s="9" t="n"/>
      <c r="O395" s="9" t="n"/>
      <c r="P395" s="9" t="n"/>
      <c r="Q395" s="9" t="n"/>
    </row>
    <row r="396" ht="15" customFormat="1" customHeight="1" s="8">
      <c r="A396" s="66" t="inlineStr">
        <is>
          <t>reference product</t>
        </is>
      </c>
      <c r="B396" s="70" t="inlineStr">
        <is>
          <t>used fuel cell stack, 1MWe, SOEC</t>
        </is>
      </c>
      <c r="C396" s="64" t="n"/>
      <c r="D396" s="64" t="n"/>
      <c r="E396" s="64" t="n"/>
      <c r="F396" s="64" t="n"/>
      <c r="G396" s="64" t="n"/>
      <c r="H396" s="64" t="n"/>
      <c r="I396" s="64" t="n"/>
      <c r="L396" s="9" t="n"/>
      <c r="M396" s="9" t="n"/>
      <c r="N396" s="9" t="n"/>
      <c r="O396" s="9" t="n"/>
      <c r="P396" s="9" t="n"/>
      <c r="Q396" s="9" t="n"/>
    </row>
    <row r="397" ht="15" customFormat="1" customHeight="1" s="8">
      <c r="A397" s="66" t="inlineStr">
        <is>
          <t>location</t>
        </is>
      </c>
      <c r="B397" s="89" t="inlineStr">
        <is>
          <t>RER</t>
        </is>
      </c>
      <c r="C397" s="64" t="n"/>
      <c r="D397" s="64" t="n"/>
      <c r="E397" s="64" t="n"/>
      <c r="F397" s="64" t="n"/>
      <c r="G397" s="64" t="n"/>
      <c r="H397" s="64" t="n"/>
      <c r="I397" s="64" t="n"/>
      <c r="L397" s="9" t="n"/>
      <c r="M397" s="9" t="n"/>
      <c r="N397" s="9" t="n"/>
      <c r="O397" s="9" t="n"/>
      <c r="P397" s="9" t="n"/>
      <c r="Q397" s="9" t="n"/>
    </row>
    <row r="398" ht="15" customFormat="1" customHeight="1" s="8">
      <c r="A398" s="66" t="inlineStr">
        <is>
          <t>unit</t>
        </is>
      </c>
      <c r="B398" s="70" t="inlineStr">
        <is>
          <t>unit</t>
        </is>
      </c>
      <c r="C398" s="64" t="n"/>
      <c r="D398" s="64" t="n"/>
      <c r="E398" s="64" t="n"/>
      <c r="F398" s="64" t="n"/>
      <c r="G398" s="64" t="n"/>
      <c r="H398" s="64" t="n"/>
      <c r="I398" s="64" t="n"/>
      <c r="L398" s="9" t="n"/>
      <c r="M398" s="9" t="n"/>
      <c r="N398" s="9" t="n"/>
      <c r="O398" s="9" t="n"/>
      <c r="P398" s="9" t="n"/>
      <c r="Q398" s="9" t="n"/>
    </row>
    <row r="399" ht="15.6" customFormat="1" customHeight="1" s="8">
      <c r="A399" s="68" t="inlineStr">
        <is>
          <t>Exchanges</t>
        </is>
      </c>
      <c r="B399" s="88" t="n"/>
      <c r="C399" s="68" t="n"/>
      <c r="D399" s="68" t="n"/>
      <c r="E399" s="68" t="n"/>
      <c r="F399" s="68" t="n"/>
      <c r="G399" s="68" t="n"/>
      <c r="H399" s="68" t="n"/>
      <c r="I399" s="68" t="n"/>
      <c r="J399" s="10" t="n"/>
      <c r="K399" s="10" t="n"/>
      <c r="L399" s="9" t="n"/>
      <c r="M399" s="9" t="n"/>
      <c r="N399" s="9" t="n"/>
      <c r="O399" s="9" t="n"/>
      <c r="P399" s="9" t="n"/>
      <c r="Q399" s="9" t="n"/>
    </row>
    <row r="400" ht="15.6" customFormat="1" customHeight="1" s="8">
      <c r="A400" s="68" t="inlineStr">
        <is>
          <t>name</t>
        </is>
      </c>
      <c r="B400" s="88" t="inlineStr">
        <is>
          <t>amount</t>
        </is>
      </c>
      <c r="C400" s="68" t="inlineStr">
        <is>
          <t>reference product</t>
        </is>
      </c>
      <c r="D400" s="68" t="inlineStr">
        <is>
          <t>location</t>
        </is>
      </c>
      <c r="E400" s="68" t="inlineStr">
        <is>
          <t>unit</t>
        </is>
      </c>
      <c r="F400" s="69" t="inlineStr">
        <is>
          <t>categories</t>
        </is>
      </c>
      <c r="G400" s="68" t="inlineStr">
        <is>
          <t>type</t>
        </is>
      </c>
      <c r="H400" s="67" t="inlineStr">
        <is>
          <t>database</t>
        </is>
      </c>
      <c r="I400" s="69" t="inlineStr">
        <is>
          <t>comment</t>
        </is>
      </c>
      <c r="J400" s="10" t="n"/>
      <c r="K400" s="6" t="n"/>
      <c r="L400" s="11" t="n"/>
      <c r="M400" s="11" t="n"/>
      <c r="N400" s="11" t="n"/>
      <c r="O400" s="11" t="n"/>
      <c r="P400" s="11" t="n"/>
      <c r="Q400" s="11" t="n"/>
      <c r="R400" s="6" t="n"/>
      <c r="S400" s="6" t="n"/>
      <c r="T400" s="10" t="n"/>
      <c r="U400" s="6" t="n"/>
    </row>
    <row r="401" ht="15" customFormat="1" customHeight="1" s="8">
      <c r="A401" s="67" t="inlineStr">
        <is>
          <t>treatment of fuel cell stack, 1MWe, SOEC</t>
        </is>
      </c>
      <c r="B401" s="70" t="n">
        <v>-1</v>
      </c>
      <c r="C401" s="64" t="inlineStr">
        <is>
          <t>used fuel cell stack, 1MWe, SOEC</t>
        </is>
      </c>
      <c r="D401" s="64" t="inlineStr">
        <is>
          <t>RER</t>
        </is>
      </c>
      <c r="E401" s="64" t="inlineStr">
        <is>
          <t>unit</t>
        </is>
      </c>
      <c r="F401" s="64" t="n"/>
      <c r="G401" s="64" t="inlineStr">
        <is>
          <t>production</t>
        </is>
      </c>
      <c r="H401" s="67" t="inlineStr">
        <is>
          <t>h2_electrolysis</t>
        </is>
      </c>
      <c r="I401" s="64" t="n"/>
      <c r="L401" s="9" t="n"/>
      <c r="M401" s="9" t="n"/>
      <c r="N401" s="9" t="n"/>
      <c r="O401" s="9" t="n"/>
      <c r="P401" s="9" t="n"/>
      <c r="Q401" s="9" t="n"/>
    </row>
    <row r="402" ht="15.6" customFormat="1" customHeight="1" s="8">
      <c r="A402" s="67" t="inlineStr">
        <is>
          <t>Iron scrap, at plant</t>
        </is>
      </c>
      <c r="B402" s="70" t="n">
        <v>-26928</v>
      </c>
      <c r="C402" s="64" t="inlineStr">
        <is>
          <t>Iron scrap, at plant</t>
        </is>
      </c>
      <c r="D402" s="64" t="inlineStr">
        <is>
          <t>RER</t>
        </is>
      </c>
      <c r="E402" s="64" t="inlineStr">
        <is>
          <t>kilogram</t>
        </is>
      </c>
      <c r="F402" s="64" t="n"/>
      <c r="G402" s="64" t="inlineStr">
        <is>
          <t>technosphere</t>
        </is>
      </c>
      <c r="H402" s="64" t="inlineStr">
        <is>
          <t>bafu</t>
        </is>
      </c>
      <c r="I402" s="64" t="n"/>
      <c r="L402" s="12" t="n"/>
      <c r="M402" s="12" t="n"/>
      <c r="N402" s="12" t="n"/>
      <c r="O402" s="12" t="n"/>
      <c r="P402" s="12" t="n"/>
      <c r="Q402" s="12" t="n"/>
    </row>
    <row r="403" ht="15" customFormat="1" customHeight="1" s="8">
      <c r="B403" s="9" t="n"/>
      <c r="L403" s="9" t="n"/>
      <c r="M403" s="9" t="n"/>
      <c r="N403" s="9" t="n"/>
      <c r="O403" s="9" t="n"/>
      <c r="P403" s="9" t="n"/>
      <c r="Q403" s="9" t="n"/>
    </row>
    <row r="404" ht="15.6" customFormat="1" customHeight="1" s="8">
      <c r="A404" s="63" t="inlineStr">
        <is>
          <t>Activity</t>
        </is>
      </c>
      <c r="B404" s="88" t="inlineStr">
        <is>
          <t>electrolyzer production, 1MWe, SOEC, Balance of Plant</t>
        </is>
      </c>
      <c r="C404" s="64" t="n"/>
      <c r="D404" s="64" t="n"/>
      <c r="E404" s="64" t="n"/>
      <c r="F404" s="64" t="n"/>
      <c r="G404" s="64" t="n"/>
      <c r="H404" s="64" t="n"/>
      <c r="I404" s="64" t="n"/>
      <c r="L404" s="13" t="n"/>
      <c r="M404" s="14" t="n"/>
      <c r="N404" s="9" t="n"/>
      <c r="O404" s="9" t="n"/>
      <c r="P404" s="9" t="n"/>
      <c r="Q404" s="9" t="n"/>
    </row>
    <row r="405" ht="15" customFormat="1" customHeight="1" s="8">
      <c r="A405" s="66" t="inlineStr">
        <is>
          <t>production amount</t>
        </is>
      </c>
      <c r="B405" s="89" t="n">
        <v>1</v>
      </c>
      <c r="C405" s="64" t="n"/>
      <c r="D405" s="64" t="n"/>
      <c r="E405" s="64" t="n"/>
      <c r="F405" s="64" t="n"/>
      <c r="G405" s="64" t="n"/>
      <c r="H405" s="64" t="n"/>
      <c r="I405" s="64" t="n"/>
      <c r="L405" s="15" t="n"/>
      <c r="M405" s="14" t="n"/>
      <c r="N405" s="9" t="n"/>
      <c r="O405" s="9" t="n"/>
      <c r="P405" s="9" t="n"/>
      <c r="Q405" s="9" t="n"/>
    </row>
    <row r="406" ht="15" customFormat="1" customHeight="1" s="8">
      <c r="A406" s="66" t="inlineStr">
        <is>
          <t>comment</t>
        </is>
      </c>
      <c r="B406" s="89" t="inlineStr">
        <is>
          <t>1 MWe Solid Oxide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Produced amount of H2 over 20 years: 3779894.18 kg.</t>
        </is>
      </c>
      <c r="C406" s="64" t="n"/>
      <c r="D406" s="64" t="n"/>
      <c r="E406" s="64" t="n"/>
      <c r="F406" s="64" t="n"/>
      <c r="G406" s="64" t="n"/>
      <c r="H406" s="64" t="n"/>
      <c r="I406" s="64" t="n"/>
      <c r="L406" s="9" t="n"/>
      <c r="M406" s="14" t="n"/>
      <c r="N406" s="9" t="n"/>
      <c r="O406" s="9" t="n"/>
      <c r="P406" s="9" t="n"/>
      <c r="Q406" s="9" t="n"/>
    </row>
    <row r="407" ht="15" customFormat="1" customHeight="1" s="8">
      <c r="A407" s="66" t="inlineStr">
        <is>
          <t>reference product</t>
        </is>
      </c>
      <c r="B407" s="70" t="inlineStr">
        <is>
          <t>electrolyzer, 1MWe, SOEC, Balance of Plant</t>
        </is>
      </c>
      <c r="C407" s="64" t="n"/>
      <c r="D407" s="64" t="n"/>
      <c r="E407" s="64" t="n"/>
      <c r="F407" s="64" t="n"/>
      <c r="G407" s="64" t="n"/>
      <c r="H407" s="64" t="n"/>
      <c r="I407" s="64" t="n"/>
      <c r="L407" s="9" t="n"/>
      <c r="M407" s="9" t="n"/>
      <c r="N407" s="9" t="n"/>
      <c r="O407" s="9" t="n"/>
      <c r="P407" s="9" t="n"/>
      <c r="Q407" s="9" t="n"/>
    </row>
    <row r="408" ht="16.35" customFormat="1" customHeight="1" s="8">
      <c r="A408" s="66" t="inlineStr">
        <is>
          <t>location</t>
        </is>
      </c>
      <c r="B408" s="89" t="inlineStr">
        <is>
          <t>RER</t>
        </is>
      </c>
      <c r="C408" s="64" t="n"/>
      <c r="D408" s="64" t="n"/>
      <c r="E408" s="64" t="n"/>
      <c r="F408" s="64" t="n"/>
      <c r="G408" s="64" t="n"/>
      <c r="H408" s="64" t="n"/>
      <c r="I408" s="64" t="n"/>
      <c r="L408" s="9" t="n"/>
      <c r="M408" s="9" t="n"/>
      <c r="N408" s="9" t="n"/>
      <c r="O408" s="9" t="n"/>
      <c r="P408" s="9" t="n"/>
      <c r="Q408" s="9" t="n"/>
    </row>
    <row r="409" ht="15.6" customFormat="1" customHeight="1" s="8">
      <c r="A409" s="66" t="inlineStr">
        <is>
          <t>unit</t>
        </is>
      </c>
      <c r="B409" s="70" t="inlineStr">
        <is>
          <t>unit</t>
        </is>
      </c>
      <c r="C409" s="64" t="n"/>
      <c r="D409" s="64" t="n"/>
      <c r="E409" s="64" t="n"/>
      <c r="F409" s="64" t="n"/>
      <c r="G409" s="64" t="n"/>
      <c r="H409" s="64" t="n"/>
      <c r="I409" s="68" t="n"/>
      <c r="J409" s="10" t="n"/>
      <c r="L409" s="9" t="n"/>
      <c r="M409" s="9" t="n"/>
      <c r="N409" s="9" t="n"/>
      <c r="O409" s="9" t="n"/>
      <c r="P409" s="9" t="n"/>
      <c r="Q409" s="9" t="n"/>
    </row>
    <row r="410" ht="15.6" customFormat="1" customHeight="1" s="8">
      <c r="A410" s="68" t="inlineStr">
        <is>
          <t>Exchanges</t>
        </is>
      </c>
      <c r="B410" s="88" t="n"/>
      <c r="C410" s="68" t="n"/>
      <c r="D410" s="68" t="n"/>
      <c r="E410" s="68" t="n"/>
      <c r="F410" s="68" t="n"/>
      <c r="G410" s="68" t="n"/>
      <c r="H410" s="68" t="n"/>
      <c r="I410" s="65" t="n"/>
      <c r="J410" s="7" t="n"/>
      <c r="L410" s="9" t="n"/>
      <c r="M410" s="9" t="n"/>
      <c r="N410" s="9" t="n"/>
      <c r="O410" s="9" t="n"/>
      <c r="P410" s="9" t="n"/>
      <c r="Q410" s="9" t="n"/>
    </row>
    <row r="411" ht="15.6" customFormat="1" customHeight="1" s="8">
      <c r="A411" s="68" t="inlineStr">
        <is>
          <t>name</t>
        </is>
      </c>
      <c r="B411" s="88" t="inlineStr">
        <is>
          <t>amount</t>
        </is>
      </c>
      <c r="C411" s="68" t="inlineStr">
        <is>
          <t>reference product</t>
        </is>
      </c>
      <c r="D411" s="68" t="inlineStr">
        <is>
          <t>location</t>
        </is>
      </c>
      <c r="E411" s="68" t="inlineStr">
        <is>
          <t>unit</t>
        </is>
      </c>
      <c r="F411" s="69" t="inlineStr">
        <is>
          <t>categories</t>
        </is>
      </c>
      <c r="G411" s="68" t="inlineStr">
        <is>
          <t>type</t>
        </is>
      </c>
      <c r="H411" s="67" t="inlineStr">
        <is>
          <t>database</t>
        </is>
      </c>
      <c r="I411" s="69" t="inlineStr">
        <is>
          <t>comment</t>
        </is>
      </c>
      <c r="J411" s="10" t="n"/>
      <c r="K411" s="6" t="n"/>
      <c r="L411" s="11" t="n"/>
      <c r="M411" s="11" t="n"/>
      <c r="N411" s="11" t="n"/>
      <c r="O411" s="11" t="n"/>
      <c r="P411" s="11" t="n"/>
      <c r="Q411" s="11" t="n"/>
      <c r="R411" s="6" t="n"/>
      <c r="S411" s="6" t="n"/>
      <c r="T411" s="10" t="n"/>
      <c r="U411" s="6" t="n"/>
    </row>
    <row r="412" ht="15" customFormat="1" customHeight="1" s="8">
      <c r="A412" s="67" t="inlineStr">
        <is>
          <t>electrolyzer production, 1MWe, SOEC, Balance of Plant</t>
        </is>
      </c>
      <c r="B412" s="70" t="n">
        <v>1</v>
      </c>
      <c r="C412" s="67" t="inlineStr">
        <is>
          <t>electrolyzer, 1MWe, SOEC, Balance of Plant</t>
        </is>
      </c>
      <c r="D412" s="64" t="inlineStr">
        <is>
          <t>RER</t>
        </is>
      </c>
      <c r="E412" s="64" t="inlineStr">
        <is>
          <t>unit</t>
        </is>
      </c>
      <c r="F412" s="64" t="n"/>
      <c r="G412" s="64" t="inlineStr">
        <is>
          <t>production</t>
        </is>
      </c>
      <c r="H412" s="67" t="inlineStr">
        <is>
          <t>h2_electrolysis</t>
        </is>
      </c>
      <c r="I412" s="65" t="n"/>
      <c r="J412" s="7" t="n"/>
      <c r="K412" s="7" t="n"/>
      <c r="L412" s="9" t="n"/>
      <c r="M412" s="9" t="n"/>
      <c r="N412" s="9" t="n"/>
      <c r="O412" s="9" t="n"/>
      <c r="P412" s="9" t="n"/>
      <c r="Q412" s="9" t="n"/>
    </row>
    <row r="413" ht="15.6" customFormat="1" customHeight="1" s="8">
      <c r="A413" s="64" t="inlineStr">
        <is>
          <t>Sheet rolling, chromium steel</t>
        </is>
      </c>
      <c r="B413" s="70" t="n">
        <v>5858.2</v>
      </c>
      <c r="C413" s="64" t="inlineStr">
        <is>
          <t>Sheet rolling, chromium steel</t>
        </is>
      </c>
      <c r="D413" s="64" t="inlineStr">
        <is>
          <t>RER</t>
        </is>
      </c>
      <c r="E413" s="64" t="inlineStr">
        <is>
          <t>kilogram</t>
        </is>
      </c>
      <c r="F413" s="64" t="n"/>
      <c r="G413" s="64" t="inlineStr">
        <is>
          <t>technosphere</t>
        </is>
      </c>
      <c r="H413" s="64" t="inlineStr">
        <is>
          <t>bafu</t>
        </is>
      </c>
      <c r="I413" s="65" t="inlineStr">
        <is>
          <t>heat exchangers</t>
        </is>
      </c>
      <c r="L413" s="12" t="n"/>
      <c r="M413" s="12" t="n"/>
      <c r="N413" s="12" t="n"/>
      <c r="O413" s="12" t="n"/>
      <c r="P413" s="12" t="n"/>
      <c r="Q413" s="12" t="n"/>
    </row>
    <row r="414" ht="15.6" customFormat="1" customHeight="1" s="8">
      <c r="A414" s="64" t="inlineStr">
        <is>
          <t>Chromium steel 18/8, at plant</t>
        </is>
      </c>
      <c r="B414" s="70" t="n">
        <v>5858.2</v>
      </c>
      <c r="C414" s="64" t="inlineStr">
        <is>
          <t>Chromium steel 18/8, at plant</t>
        </is>
      </c>
      <c r="D414" s="64" t="inlineStr">
        <is>
          <t>RER</t>
        </is>
      </c>
      <c r="E414" s="64" t="inlineStr">
        <is>
          <t>kilogram</t>
        </is>
      </c>
      <c r="F414" s="64" t="n"/>
      <c r="G414" s="64" t="inlineStr">
        <is>
          <t>technosphere</t>
        </is>
      </c>
      <c r="H414" s="64" t="inlineStr">
        <is>
          <t>bafu</t>
        </is>
      </c>
      <c r="I414" s="65" t="inlineStr">
        <is>
          <t>heat exchangers</t>
        </is>
      </c>
      <c r="L414" s="12" t="n"/>
      <c r="M414" s="12" t="n"/>
      <c r="N414" s="12" t="n"/>
      <c r="O414" s="12" t="n"/>
      <c r="P414" s="12" t="n"/>
      <c r="Q414" s="12" t="n"/>
    </row>
    <row r="415" ht="15.6" customFormat="1" customHeight="1" s="8">
      <c r="A415" s="67" t="inlineStr">
        <is>
          <t>Aluminium, production mix, wrought alloy, at plant</t>
        </is>
      </c>
      <c r="B415" s="70" t="n">
        <v>300</v>
      </c>
      <c r="C415" s="67" t="inlineStr">
        <is>
          <t>Aluminium, production mix, wrought alloy, at plant</t>
        </is>
      </c>
      <c r="D415" s="64" t="inlineStr">
        <is>
          <t>RER</t>
        </is>
      </c>
      <c r="E415" s="64" t="inlineStr">
        <is>
          <t>kilogram</t>
        </is>
      </c>
      <c r="F415" s="64" t="n"/>
      <c r="G415" s="64" t="inlineStr">
        <is>
          <t>technosphere</t>
        </is>
      </c>
      <c r="H415" s="64" t="inlineStr">
        <is>
          <t>bafu</t>
        </is>
      </c>
      <c r="I415" s="65" t="inlineStr">
        <is>
          <t>frequency converters</t>
        </is>
      </c>
      <c r="L415" s="12" t="n"/>
      <c r="M415" s="12" t="n"/>
      <c r="N415" s="12" t="n"/>
      <c r="O415" s="12" t="n"/>
      <c r="P415" s="12" t="n"/>
      <c r="Q415" s="12" t="n"/>
    </row>
    <row r="416" ht="15.6" customFormat="1" customHeight="1" s="8">
      <c r="A416" s="67" t="inlineStr">
        <is>
          <t>Copper, primary, at refinery</t>
        </is>
      </c>
      <c r="B416" s="70" t="n">
        <v>225</v>
      </c>
      <c r="C416" s="67" t="inlineStr">
        <is>
          <t>Copper, primary, at refinery</t>
        </is>
      </c>
      <c r="D416" s="64" t="inlineStr">
        <is>
          <t>GLO</t>
        </is>
      </c>
      <c r="E416" s="64" t="inlineStr">
        <is>
          <t>kilogram</t>
        </is>
      </c>
      <c r="F416" s="64" t="n"/>
      <c r="G416" s="64" t="inlineStr">
        <is>
          <t>technosphere</t>
        </is>
      </c>
      <c r="H416" s="64" t="inlineStr">
        <is>
          <t>bafu</t>
        </is>
      </c>
      <c r="I416" s="65" t="inlineStr">
        <is>
          <t>frequency converters</t>
        </is>
      </c>
      <c r="L416" s="12" t="n"/>
      <c r="M416" s="12" t="n"/>
      <c r="N416" s="12" t="n"/>
      <c r="O416" s="12" t="n"/>
      <c r="P416" s="12" t="n"/>
      <c r="Q416" s="12" t="n"/>
    </row>
    <row r="417" ht="15.6" customFormat="1" customHeight="1" s="8">
      <c r="A417" s="67" t="inlineStr">
        <is>
          <t>Reinforcing steel, at plant</t>
        </is>
      </c>
      <c r="B417" s="70" t="n">
        <v>900</v>
      </c>
      <c r="C417" s="67" t="inlineStr">
        <is>
          <t>Reinforcing steel, at plant</t>
        </is>
      </c>
      <c r="D417" s="64" t="inlineStr">
        <is>
          <t>RER</t>
        </is>
      </c>
      <c r="E417" s="64" t="inlineStr">
        <is>
          <t>kilogram</t>
        </is>
      </c>
      <c r="F417" s="64" t="n"/>
      <c r="G417" s="64" t="inlineStr">
        <is>
          <t>technosphere</t>
        </is>
      </c>
      <c r="H417" s="64" t="inlineStr">
        <is>
          <t>bafu</t>
        </is>
      </c>
      <c r="I417" s="65" t="inlineStr">
        <is>
          <t>frequency converters</t>
        </is>
      </c>
      <c r="L417" s="12" t="n"/>
      <c r="M417" s="12" t="n"/>
      <c r="N417" s="12" t="n"/>
      <c r="O417" s="12" t="n"/>
      <c r="P417" s="12" t="n"/>
      <c r="Q417" s="12" t="n"/>
    </row>
    <row r="418" ht="15.6" customFormat="1" customHeight="1" s="8">
      <c r="A418" s="67" t="inlineStr">
        <is>
          <t>Tube insulation, elastomere, at plant</t>
        </is>
      </c>
      <c r="B418" s="70" t="n">
        <v>75</v>
      </c>
      <c r="C418" s="67" t="inlineStr">
        <is>
          <t>Tube insulation, elastomere, at plant</t>
        </is>
      </c>
      <c r="D418" s="64" t="inlineStr">
        <is>
          <t>DE</t>
        </is>
      </c>
      <c r="E418" s="64" t="inlineStr">
        <is>
          <t>kilogram</t>
        </is>
      </c>
      <c r="F418" s="64" t="n"/>
      <c r="G418" s="64" t="inlineStr">
        <is>
          <t>technosphere</t>
        </is>
      </c>
      <c r="H418" s="64" t="inlineStr">
        <is>
          <t>bafu</t>
        </is>
      </c>
      <c r="I418" s="65" t="inlineStr">
        <is>
          <t>frequency converters</t>
        </is>
      </c>
      <c r="L418" s="12" t="n"/>
      <c r="M418" s="12" t="n"/>
      <c r="N418" s="12" t="n"/>
      <c r="O418" s="12" t="n"/>
      <c r="P418" s="12" t="n"/>
      <c r="Q418" s="12" t="n"/>
    </row>
    <row r="419" ht="15.6" customFormat="1" customHeight="1" s="8">
      <c r="A419" s="67" t="inlineStr">
        <is>
          <t>Wire drawing, copper</t>
        </is>
      </c>
      <c r="B419" s="70" t="n">
        <v>225</v>
      </c>
      <c r="C419" s="67" t="inlineStr">
        <is>
          <t>Wire drawing, copper</t>
        </is>
      </c>
      <c r="D419" s="64" t="inlineStr">
        <is>
          <t>RER</t>
        </is>
      </c>
      <c r="E419" s="64" t="inlineStr">
        <is>
          <t>kilogram</t>
        </is>
      </c>
      <c r="F419" s="64" t="n"/>
      <c r="G419" s="64" t="inlineStr">
        <is>
          <t>technosphere</t>
        </is>
      </c>
      <c r="H419" s="64" t="inlineStr">
        <is>
          <t>bafu</t>
        </is>
      </c>
      <c r="I419" s="65" t="inlineStr">
        <is>
          <t>frequency converters</t>
        </is>
      </c>
      <c r="L419" s="12" t="n"/>
      <c r="M419" s="12" t="n"/>
      <c r="N419" s="12" t="n"/>
      <c r="O419" s="12" t="n"/>
      <c r="P419" s="12" t="n"/>
      <c r="Q419" s="12" t="n"/>
    </row>
    <row r="420" ht="15.6" customFormat="1" customHeight="1" s="8">
      <c r="A420" s="67" t="inlineStr">
        <is>
          <t>Cast iron, at plant</t>
        </is>
      </c>
      <c r="B420" s="70" t="n">
        <v>3000</v>
      </c>
      <c r="C420" s="67" t="inlineStr">
        <is>
          <t>Cast iron, at plant</t>
        </is>
      </c>
      <c r="D420" s="64" t="inlineStr">
        <is>
          <t>RER</t>
        </is>
      </c>
      <c r="E420" s="64" t="inlineStr">
        <is>
          <t>kilogram</t>
        </is>
      </c>
      <c r="F420" s="64" t="n"/>
      <c r="G420" s="64" t="inlineStr">
        <is>
          <t>technosphere</t>
        </is>
      </c>
      <c r="H420" s="64" t="inlineStr">
        <is>
          <t>bafu</t>
        </is>
      </c>
      <c r="I420" s="65" t="inlineStr">
        <is>
          <t>diaphragm compressor</t>
        </is>
      </c>
      <c r="L420" s="12" t="n"/>
      <c r="M420" s="12" t="n"/>
      <c r="N420" s="12" t="n"/>
      <c r="O420" s="12" t="n"/>
      <c r="P420" s="12" t="n"/>
      <c r="Q420" s="12" t="n"/>
    </row>
    <row r="421" ht="15.6" customFormat="1" customHeight="1" s="8">
      <c r="A421" s="67" t="inlineStr">
        <is>
          <t>Ethylene glycol, at plant</t>
        </is>
      </c>
      <c r="B421" s="70" t="n">
        <v>35</v>
      </c>
      <c r="C421" s="67" t="inlineStr">
        <is>
          <t>Ethylene glycol, at plant</t>
        </is>
      </c>
      <c r="D421" s="64" t="inlineStr">
        <is>
          <t>RER</t>
        </is>
      </c>
      <c r="E421" s="64" t="inlineStr">
        <is>
          <t>kilogram</t>
        </is>
      </c>
      <c r="F421" s="64" t="n"/>
      <c r="G421" s="64" t="inlineStr">
        <is>
          <t>technosphere</t>
        </is>
      </c>
      <c r="H421" s="64" t="inlineStr">
        <is>
          <t>bafu</t>
        </is>
      </c>
      <c r="I421" s="65" t="inlineStr">
        <is>
          <t>diaphragm compressor</t>
        </is>
      </c>
      <c r="L421" s="12" t="n"/>
      <c r="M421" s="12" t="n"/>
      <c r="N421" s="12" t="n"/>
      <c r="O421" s="12" t="n"/>
      <c r="P421" s="12" t="n"/>
      <c r="Q421" s="12" t="n"/>
    </row>
    <row r="422" ht="15.6" customFormat="1" customHeight="1" s="8">
      <c r="A422" s="67" t="inlineStr">
        <is>
          <t>Reinforcing steel, at plant</t>
        </is>
      </c>
      <c r="B422" s="70" t="n">
        <v>6500</v>
      </c>
      <c r="C422" s="67" t="inlineStr">
        <is>
          <t>Reinforcing steel, at plant</t>
        </is>
      </c>
      <c r="D422" s="64" t="inlineStr">
        <is>
          <t>RER</t>
        </is>
      </c>
      <c r="E422" s="64" t="inlineStr">
        <is>
          <t>kilogram</t>
        </is>
      </c>
      <c r="F422" s="64" t="n"/>
      <c r="G422" s="64" t="inlineStr">
        <is>
          <t>technosphere</t>
        </is>
      </c>
      <c r="H422" s="64" t="inlineStr">
        <is>
          <t>bafu</t>
        </is>
      </c>
      <c r="I422" s="65" t="inlineStr">
        <is>
          <t>diaphragm compressor</t>
        </is>
      </c>
      <c r="L422" s="12" t="n"/>
      <c r="M422" s="12" t="n"/>
      <c r="N422" s="12" t="n"/>
      <c r="O422" s="12" t="n"/>
      <c r="P422" s="12" t="n"/>
      <c r="Q422" s="12" t="n"/>
    </row>
    <row r="423" ht="15.6" customFormat="1" customHeight="1" s="8">
      <c r="A423" s="67" t="inlineStr">
        <is>
          <t>Sheet rolling, chromium steel</t>
        </is>
      </c>
      <c r="B423" s="70" t="n">
        <v>2025</v>
      </c>
      <c r="C423" s="67" t="inlineStr">
        <is>
          <t>Sheet rolling, chromium steel</t>
        </is>
      </c>
      <c r="D423" s="64" t="inlineStr">
        <is>
          <t>RER</t>
        </is>
      </c>
      <c r="E423" s="64" t="inlineStr">
        <is>
          <t>kilogram</t>
        </is>
      </c>
      <c r="F423" s="64" t="n"/>
      <c r="G423" s="64" t="inlineStr">
        <is>
          <t>technosphere</t>
        </is>
      </c>
      <c r="H423" s="64" t="inlineStr">
        <is>
          <t>bafu</t>
        </is>
      </c>
      <c r="I423" s="65" t="inlineStr">
        <is>
          <t>diaphragm compressor</t>
        </is>
      </c>
      <c r="L423" s="12" t="n"/>
      <c r="M423" s="12" t="n"/>
      <c r="N423" s="12" t="n"/>
      <c r="O423" s="12" t="n"/>
      <c r="P423" s="12" t="n"/>
      <c r="Q423" s="12" t="n"/>
    </row>
    <row r="424" ht="15.6" customFormat="1" customHeight="1" s="8">
      <c r="A424" s="67" t="inlineStr">
        <is>
          <t>Sheet rolling, steel</t>
        </is>
      </c>
      <c r="B424" s="70" t="n">
        <v>2000</v>
      </c>
      <c r="C424" s="67" t="inlineStr">
        <is>
          <t>Sheet rolling, steel</t>
        </is>
      </c>
      <c r="D424" s="64" t="inlineStr">
        <is>
          <t>RER</t>
        </is>
      </c>
      <c r="E424" s="64" t="inlineStr">
        <is>
          <t>kilogram</t>
        </is>
      </c>
      <c r="F424" s="64" t="n"/>
      <c r="G424" s="64" t="inlineStr">
        <is>
          <t>technosphere</t>
        </is>
      </c>
      <c r="H424" s="64" t="inlineStr">
        <is>
          <t>bafu</t>
        </is>
      </c>
      <c r="I424" s="65" t="inlineStr">
        <is>
          <t>diaphragm compressor</t>
        </is>
      </c>
      <c r="L424" s="12" t="n"/>
      <c r="M424" s="12" t="n"/>
      <c r="N424" s="12" t="n"/>
      <c r="O424" s="12" t="n"/>
      <c r="P424" s="12" t="n"/>
      <c r="Q424" s="12" t="n"/>
    </row>
    <row r="425" ht="15.6" customFormat="1" customHeight="1" s="8">
      <c r="A425" s="67" t="inlineStr">
        <is>
          <t>Chromium steel 18/8, at plant</t>
        </is>
      </c>
      <c r="B425" s="70" t="n">
        <v>2025</v>
      </c>
      <c r="C425" s="67" t="inlineStr">
        <is>
          <t>Chromium steel 18/8, at plant</t>
        </is>
      </c>
      <c r="D425" s="64" t="inlineStr">
        <is>
          <t>RER</t>
        </is>
      </c>
      <c r="E425" s="64" t="inlineStr">
        <is>
          <t>kilogram</t>
        </is>
      </c>
      <c r="F425" s="64" t="n"/>
      <c r="G425" s="64" t="inlineStr">
        <is>
          <t>technosphere</t>
        </is>
      </c>
      <c r="H425" s="64" t="inlineStr">
        <is>
          <t>bafu</t>
        </is>
      </c>
      <c r="I425" s="65" t="inlineStr">
        <is>
          <t>diaphragm compressor</t>
        </is>
      </c>
      <c r="L425" s="12" t="n"/>
      <c r="M425" s="12" t="n"/>
      <c r="N425" s="12" t="n"/>
      <c r="O425" s="12" t="n"/>
      <c r="P425" s="12" t="n"/>
      <c r="Q425" s="12" t="n"/>
    </row>
    <row r="426" ht="15.6" customFormat="1" customHeight="1" s="8">
      <c r="A426" s="67" t="inlineStr">
        <is>
          <t>Reinforcing steel, at plant</t>
        </is>
      </c>
      <c r="B426" s="70" t="n">
        <v>5000</v>
      </c>
      <c r="C426" s="67" t="inlineStr">
        <is>
          <t>Reinforcing steel, at plant</t>
        </is>
      </c>
      <c r="D426" s="64" t="inlineStr">
        <is>
          <t>RER</t>
        </is>
      </c>
      <c r="E426" s="64" t="inlineStr">
        <is>
          <t>kilogram</t>
        </is>
      </c>
      <c r="F426" s="64" t="n"/>
      <c r="G426" s="64" t="inlineStr">
        <is>
          <t>technosphere</t>
        </is>
      </c>
      <c r="H426" s="64" t="inlineStr">
        <is>
          <t>bafu</t>
        </is>
      </c>
      <c r="I426" s="65" t="inlineStr">
        <is>
          <t>container with pipes and fittings for diaphragm compressor</t>
        </is>
      </c>
      <c r="L426" s="12" t="n"/>
      <c r="M426" s="12" t="n"/>
      <c r="N426" s="12" t="n"/>
      <c r="O426" s="12" t="n"/>
      <c r="P426" s="12" t="n"/>
      <c r="Q426" s="12" t="n"/>
    </row>
    <row r="427" ht="15.6" customFormat="1" customHeight="1" s="8">
      <c r="A427" s="67" t="inlineStr">
        <is>
          <t>Sheet rolling, chromium steel</t>
        </is>
      </c>
      <c r="B427" s="70" t="n">
        <v>7500</v>
      </c>
      <c r="C427" s="67" t="inlineStr">
        <is>
          <t>Sheet rolling, chromium steel</t>
        </is>
      </c>
      <c r="D427" s="64" t="inlineStr">
        <is>
          <t>RER</t>
        </is>
      </c>
      <c r="E427" s="64" t="inlineStr">
        <is>
          <t>kilogram</t>
        </is>
      </c>
      <c r="F427" s="64" t="n"/>
      <c r="G427" s="64" t="inlineStr">
        <is>
          <t>technosphere</t>
        </is>
      </c>
      <c r="H427" s="64" t="inlineStr">
        <is>
          <t>bafu</t>
        </is>
      </c>
      <c r="I427" s="65" t="inlineStr">
        <is>
          <t>container with pipes and fittings for diaphragm compressor</t>
        </is>
      </c>
      <c r="L427" s="12" t="n"/>
      <c r="M427" s="12" t="n"/>
      <c r="N427" s="12" t="n"/>
      <c r="O427" s="12" t="n"/>
      <c r="P427" s="12" t="n"/>
      <c r="Q427" s="12" t="n"/>
    </row>
    <row r="428" ht="15.6" customFormat="1" customHeight="1" s="8">
      <c r="A428" s="67" t="inlineStr">
        <is>
          <t>Sheet rolling, steel</t>
        </is>
      </c>
      <c r="B428" s="70" t="n">
        <v>5000</v>
      </c>
      <c r="C428" s="67" t="inlineStr">
        <is>
          <t>Sheet rolling, steel</t>
        </is>
      </c>
      <c r="D428" s="64" t="inlineStr">
        <is>
          <t>RER</t>
        </is>
      </c>
      <c r="E428" s="64" t="inlineStr">
        <is>
          <t>kilogram</t>
        </is>
      </c>
      <c r="F428" s="64" t="n"/>
      <c r="G428" s="64" t="inlineStr">
        <is>
          <t>technosphere</t>
        </is>
      </c>
      <c r="H428" s="64" t="inlineStr">
        <is>
          <t>bafu</t>
        </is>
      </c>
      <c r="I428" s="65" t="inlineStr">
        <is>
          <t>container with pipes and fittings for diaphragm compressor</t>
        </is>
      </c>
      <c r="L428" s="12" t="n"/>
      <c r="M428" s="12" t="n"/>
      <c r="N428" s="12" t="n"/>
      <c r="O428" s="12" t="n"/>
      <c r="P428" s="12" t="n"/>
      <c r="Q428" s="12" t="n"/>
    </row>
    <row r="429" ht="15.6" customFormat="1" customHeight="1" s="8">
      <c r="A429" s="67" t="inlineStr">
        <is>
          <t>Chromium steel 18/8, at plant</t>
        </is>
      </c>
      <c r="B429" s="70" t="n">
        <v>7500</v>
      </c>
      <c r="C429" s="67" t="inlineStr">
        <is>
          <t>Chromium steel 18/8, at plant</t>
        </is>
      </c>
      <c r="D429" s="64" t="inlineStr">
        <is>
          <t>RER</t>
        </is>
      </c>
      <c r="E429" s="64" t="inlineStr">
        <is>
          <t>kilogram</t>
        </is>
      </c>
      <c r="F429" s="64" t="n"/>
      <c r="G429" s="64" t="inlineStr">
        <is>
          <t>technosphere</t>
        </is>
      </c>
      <c r="H429" s="64" t="inlineStr">
        <is>
          <t>bafu</t>
        </is>
      </c>
      <c r="I429" s="65" t="inlineStr">
        <is>
          <t>container with pipes and fittings for diaphragm compressor</t>
        </is>
      </c>
      <c r="L429" s="12" t="n"/>
      <c r="M429" s="12" t="n"/>
      <c r="N429" s="12" t="n"/>
      <c r="O429" s="12" t="n"/>
      <c r="P429" s="12" t="n"/>
      <c r="Q429" s="12" t="n"/>
    </row>
    <row r="430" ht="15.6" customFormat="1" customHeight="1" s="8">
      <c r="A430" s="67" t="inlineStr">
        <is>
          <t>Aluminium, production mix, wrought alloy, at plant</t>
        </is>
      </c>
      <c r="B430" s="70" t="n">
        <v>100</v>
      </c>
      <c r="C430" s="67" t="inlineStr">
        <is>
          <t>Aluminium, production mix, wrought alloy, at plant</t>
        </is>
      </c>
      <c r="D430" s="64" t="inlineStr">
        <is>
          <t>RER</t>
        </is>
      </c>
      <c r="E430" s="64" t="inlineStr">
        <is>
          <t>kilogram</t>
        </is>
      </c>
      <c r="F430" s="64" t="n"/>
      <c r="G430" s="64" t="inlineStr">
        <is>
          <t>technosphere</t>
        </is>
      </c>
      <c r="H430" s="64" t="inlineStr">
        <is>
          <t>bafu</t>
        </is>
      </c>
      <c r="I430" s="65" t="inlineStr">
        <is>
          <t>power electronics (rectifier, voltage adaptation)</t>
        </is>
      </c>
      <c r="L430" s="12" t="n"/>
      <c r="M430" s="12" t="n"/>
      <c r="N430" s="12" t="n"/>
      <c r="O430" s="12" t="n"/>
      <c r="P430" s="12" t="n"/>
      <c r="Q430" s="12" t="n"/>
    </row>
    <row r="431" ht="15.6" customFormat="1" customHeight="1" s="8">
      <c r="A431" s="67" t="inlineStr">
        <is>
          <t>Copper, primary, at refinery</t>
        </is>
      </c>
      <c r="B431" s="70" t="n">
        <v>200</v>
      </c>
      <c r="C431" s="67" t="inlineStr">
        <is>
          <t>Copper, primary, at refinery</t>
        </is>
      </c>
      <c r="D431" s="64" t="inlineStr">
        <is>
          <t>GLO</t>
        </is>
      </c>
      <c r="E431" s="64" t="inlineStr">
        <is>
          <t>kilogram</t>
        </is>
      </c>
      <c r="F431" s="64" t="n"/>
      <c r="G431" s="64" t="inlineStr">
        <is>
          <t>technosphere</t>
        </is>
      </c>
      <c r="H431" s="64" t="inlineStr">
        <is>
          <t>bafu</t>
        </is>
      </c>
      <c r="I431" s="65" t="inlineStr">
        <is>
          <t>power electronics (rectifier, voltage adaptation)</t>
        </is>
      </c>
      <c r="L431" s="12" t="n"/>
      <c r="M431" s="12" t="n"/>
      <c r="N431" s="12" t="n"/>
      <c r="O431" s="12" t="n"/>
      <c r="P431" s="12" t="n"/>
      <c r="Q431" s="12" t="n"/>
    </row>
    <row r="432" ht="15.6" customFormat="1" customHeight="1" s="8">
      <c r="A432" s="67" t="inlineStr">
        <is>
          <t>Reinforcing steel, at plant</t>
        </is>
      </c>
      <c r="B432" s="70" t="n">
        <v>600</v>
      </c>
      <c r="C432" s="67" t="inlineStr">
        <is>
          <t>Reinforcing steel, at plant</t>
        </is>
      </c>
      <c r="D432" s="64" t="inlineStr">
        <is>
          <t>RER</t>
        </is>
      </c>
      <c r="E432" s="64" t="inlineStr">
        <is>
          <t>kilogram</t>
        </is>
      </c>
      <c r="F432" s="64" t="n"/>
      <c r="G432" s="64" t="inlineStr">
        <is>
          <t>technosphere</t>
        </is>
      </c>
      <c r="H432" s="64" t="inlineStr">
        <is>
          <t>bafu</t>
        </is>
      </c>
      <c r="I432" s="65" t="inlineStr">
        <is>
          <t>power electronics (rectifier, voltage adaptation)</t>
        </is>
      </c>
      <c r="L432" s="12" t="n"/>
      <c r="M432" s="12" t="n"/>
      <c r="N432" s="12" t="n"/>
      <c r="O432" s="12" t="n"/>
      <c r="P432" s="12" t="n"/>
      <c r="Q432" s="12" t="n"/>
    </row>
    <row r="433" ht="15.6" customFormat="1" customHeight="1" s="8">
      <c r="A433" s="67" t="inlineStr">
        <is>
          <t>Sheet rolling, aluminium</t>
        </is>
      </c>
      <c r="B433" s="70" t="n">
        <v>100</v>
      </c>
      <c r="C433" s="67" t="inlineStr">
        <is>
          <t>Sheet rolling, aluminium</t>
        </is>
      </c>
      <c r="D433" s="64" t="inlineStr">
        <is>
          <t>RER</t>
        </is>
      </c>
      <c r="E433" s="64" t="inlineStr">
        <is>
          <t>kilogram</t>
        </is>
      </c>
      <c r="F433" s="64" t="n"/>
      <c r="G433" s="64" t="inlineStr">
        <is>
          <t>technosphere</t>
        </is>
      </c>
      <c r="H433" s="64" t="inlineStr">
        <is>
          <t>bafu</t>
        </is>
      </c>
      <c r="I433" s="65" t="inlineStr">
        <is>
          <t>power electronics (rectifier, voltage adaptation)</t>
        </is>
      </c>
      <c r="L433" s="12" t="n"/>
      <c r="M433" s="12" t="n"/>
      <c r="N433" s="12" t="n"/>
      <c r="O433" s="12" t="n"/>
      <c r="P433" s="12" t="n"/>
      <c r="Q433" s="12" t="n"/>
    </row>
    <row r="434" ht="15.6" customFormat="1" customHeight="1" s="8">
      <c r="A434" s="67" t="inlineStr">
        <is>
          <t>Sheet rolling, steel</t>
        </is>
      </c>
      <c r="B434" s="70" t="n">
        <v>600</v>
      </c>
      <c r="C434" s="67" t="inlineStr">
        <is>
          <t>Sheet rolling, steel</t>
        </is>
      </c>
      <c r="D434" s="64" t="inlineStr">
        <is>
          <t>RER</t>
        </is>
      </c>
      <c r="E434" s="64" t="inlineStr">
        <is>
          <t>kilogram</t>
        </is>
      </c>
      <c r="F434" s="64" t="n"/>
      <c r="G434" s="64" t="inlineStr">
        <is>
          <t>technosphere</t>
        </is>
      </c>
      <c r="H434" s="64" t="inlineStr">
        <is>
          <t>bafu</t>
        </is>
      </c>
      <c r="I434" s="65" t="inlineStr">
        <is>
          <t>power electronics (rectifier, voltage adaptation)</t>
        </is>
      </c>
      <c r="L434" s="12" t="n"/>
      <c r="M434" s="12" t="n"/>
      <c r="N434" s="12" t="n"/>
      <c r="O434" s="12" t="n"/>
      <c r="P434" s="12" t="n"/>
      <c r="Q434" s="12" t="n"/>
    </row>
    <row r="435" ht="15.6" customFormat="1" customHeight="1" s="8">
      <c r="A435" s="67" t="inlineStr">
        <is>
          <t>Tube insulation, elastomere, at plant</t>
        </is>
      </c>
      <c r="B435" s="70" t="n">
        <v>100</v>
      </c>
      <c r="C435" s="67" t="inlineStr">
        <is>
          <t>Tube insulation, elastomere, at plant</t>
        </is>
      </c>
      <c r="D435" s="64" t="inlineStr">
        <is>
          <t>DE</t>
        </is>
      </c>
      <c r="E435" s="64" t="inlineStr">
        <is>
          <t>kilogram</t>
        </is>
      </c>
      <c r="F435" s="64" t="n"/>
      <c r="G435" s="64" t="inlineStr">
        <is>
          <t>technosphere</t>
        </is>
      </c>
      <c r="H435" s="64" t="inlineStr">
        <is>
          <t>bafu</t>
        </is>
      </c>
      <c r="I435" s="65" t="inlineStr">
        <is>
          <t>power electronics (rectifier, voltage adaptation)</t>
        </is>
      </c>
      <c r="L435" s="12" t="n"/>
      <c r="M435" s="12" t="n"/>
      <c r="N435" s="12" t="n"/>
      <c r="O435" s="12" t="n"/>
      <c r="P435" s="12" t="n"/>
      <c r="Q435" s="12" t="n"/>
    </row>
    <row r="436" ht="15.6" customFormat="1" customHeight="1" s="8">
      <c r="A436" s="67" t="inlineStr">
        <is>
          <t>Wire drawing, copper</t>
        </is>
      </c>
      <c r="B436" s="70" t="n">
        <v>200</v>
      </c>
      <c r="C436" s="67" t="inlineStr">
        <is>
          <t>Wire drawing, copper</t>
        </is>
      </c>
      <c r="D436" s="64" t="inlineStr">
        <is>
          <t>RER</t>
        </is>
      </c>
      <c r="E436" s="64" t="inlineStr">
        <is>
          <t>kilogram</t>
        </is>
      </c>
      <c r="F436" s="64" t="n"/>
      <c r="G436" s="64" t="inlineStr">
        <is>
          <t>technosphere</t>
        </is>
      </c>
      <c r="H436" s="64" t="inlineStr">
        <is>
          <t>bafu</t>
        </is>
      </c>
      <c r="I436" s="65" t="inlineStr">
        <is>
          <t>power electronics (rectifier, voltage adaptation)</t>
        </is>
      </c>
      <c r="L436" s="12" t="n"/>
      <c r="M436" s="12" t="n"/>
      <c r="N436" s="12" t="n"/>
      <c r="O436" s="12" t="n"/>
      <c r="P436" s="12" t="n"/>
      <c r="Q436" s="12" t="n"/>
    </row>
    <row r="437" ht="15.6" customFormat="1" customHeight="1" s="8">
      <c r="A437" s="67" t="inlineStr">
        <is>
          <t>Electronics for control units</t>
        </is>
      </c>
      <c r="B437" s="70" t="n">
        <v>100</v>
      </c>
      <c r="C437" s="67" t="inlineStr">
        <is>
          <t>Electronics for control units</t>
        </is>
      </c>
      <c r="D437" s="64" t="inlineStr">
        <is>
          <t>RER</t>
        </is>
      </c>
      <c r="E437" s="64" t="inlineStr">
        <is>
          <t>kilogram</t>
        </is>
      </c>
      <c r="F437" s="64" t="n"/>
      <c r="G437" s="64" t="inlineStr">
        <is>
          <t>technosphere</t>
        </is>
      </c>
      <c r="H437" s="64" t="inlineStr">
        <is>
          <t>bafu</t>
        </is>
      </c>
      <c r="I437" s="65" t="inlineStr">
        <is>
          <t>control electronics</t>
        </is>
      </c>
      <c r="L437" s="12" t="n"/>
      <c r="M437" s="12" t="n"/>
      <c r="N437" s="12" t="n"/>
      <c r="O437" s="12" t="n"/>
      <c r="P437" s="12" t="n"/>
      <c r="Q437" s="12" t="n"/>
    </row>
    <row r="438" ht="15.6" customFormat="1" customHeight="1" s="8">
      <c r="A438" s="67" t="inlineStr">
        <is>
          <t>Sheet rolling, chromium steel</t>
        </is>
      </c>
      <c r="B438" s="70" t="n">
        <v>27.4</v>
      </c>
      <c r="C438" s="67" t="inlineStr">
        <is>
          <t>Sheet rolling, chromium steel</t>
        </is>
      </c>
      <c r="D438" s="64" t="inlineStr">
        <is>
          <t>RER</t>
        </is>
      </c>
      <c r="E438" s="64" t="inlineStr">
        <is>
          <t>kilogram</t>
        </is>
      </c>
      <c r="F438" s="64" t="n"/>
      <c r="G438" s="64" t="inlineStr">
        <is>
          <t>technosphere</t>
        </is>
      </c>
      <c r="H438" s="64" t="inlineStr">
        <is>
          <t>bafu</t>
        </is>
      </c>
      <c r="I438" s="65" t="inlineStr">
        <is>
          <t>mixer</t>
        </is>
      </c>
      <c r="L438" s="12" t="n"/>
      <c r="M438" s="12" t="n"/>
      <c r="N438" s="12" t="n"/>
      <c r="O438" s="12" t="n"/>
      <c r="P438" s="12" t="n"/>
      <c r="Q438" s="12" t="n"/>
    </row>
    <row r="439" ht="15.6" customFormat="1" customHeight="1" s="8">
      <c r="A439" s="67" t="inlineStr">
        <is>
          <t>Chromium steel 18/8, at plant</t>
        </is>
      </c>
      <c r="B439" s="70" t="n">
        <v>27.4</v>
      </c>
      <c r="C439" s="67" t="inlineStr">
        <is>
          <t>Chromium steel 18/8, at plant</t>
        </is>
      </c>
      <c r="D439" s="64" t="inlineStr">
        <is>
          <t>RER</t>
        </is>
      </c>
      <c r="E439" s="64" t="inlineStr">
        <is>
          <t>kilogram</t>
        </is>
      </c>
      <c r="F439" s="64" t="n"/>
      <c r="G439" s="64" t="inlineStr">
        <is>
          <t>technosphere</t>
        </is>
      </c>
      <c r="H439" s="64" t="inlineStr">
        <is>
          <t>bafu</t>
        </is>
      </c>
      <c r="I439" s="65" t="inlineStr">
        <is>
          <t>mixer</t>
        </is>
      </c>
      <c r="L439" s="12" t="n"/>
      <c r="M439" s="12" t="n"/>
      <c r="N439" s="12" t="n"/>
      <c r="O439" s="12" t="n"/>
      <c r="P439" s="12" t="n"/>
      <c r="Q439" s="12" t="n"/>
    </row>
    <row r="440" ht="15.6" customFormat="1" customHeight="1" s="8">
      <c r="A440" s="67" t="inlineStr">
        <is>
          <t>Sheet rolling, chromium steel</t>
        </is>
      </c>
      <c r="B440" s="70" t="n">
        <v>2.4</v>
      </c>
      <c r="C440" s="67" t="inlineStr">
        <is>
          <t>Sheet rolling, chromium steel</t>
        </is>
      </c>
      <c r="D440" s="64" t="inlineStr">
        <is>
          <t>RER</t>
        </is>
      </c>
      <c r="E440" s="64" t="inlineStr">
        <is>
          <t>kilogram</t>
        </is>
      </c>
      <c r="F440" s="64" t="n"/>
      <c r="G440" s="64" t="inlineStr">
        <is>
          <t>technosphere</t>
        </is>
      </c>
      <c r="H440" s="64" t="inlineStr">
        <is>
          <t>bafu</t>
        </is>
      </c>
      <c r="I440" s="65" t="inlineStr">
        <is>
          <t>splitter</t>
        </is>
      </c>
      <c r="L440" s="12" t="n"/>
      <c r="M440" s="12" t="n"/>
      <c r="N440" s="12" t="n"/>
      <c r="O440" s="12" t="n"/>
      <c r="P440" s="12" t="n"/>
      <c r="Q440" s="12" t="n"/>
    </row>
    <row r="441" ht="15.6" customFormat="1" customHeight="1" s="8">
      <c r="A441" s="67" t="inlineStr">
        <is>
          <t>Chromium steel 18/8, at plant</t>
        </is>
      </c>
      <c r="B441" s="70" t="n">
        <v>2.4</v>
      </c>
      <c r="C441" s="67" t="inlineStr">
        <is>
          <t>Chromium steel 18/8, at plant</t>
        </is>
      </c>
      <c r="D441" s="64" t="inlineStr">
        <is>
          <t>RER</t>
        </is>
      </c>
      <c r="E441" s="64" t="inlineStr">
        <is>
          <t>kilogram</t>
        </is>
      </c>
      <c r="F441" s="64" t="n"/>
      <c r="G441" s="64" t="inlineStr">
        <is>
          <t>technosphere</t>
        </is>
      </c>
      <c r="H441" s="64" t="inlineStr">
        <is>
          <t>bafu</t>
        </is>
      </c>
      <c r="I441" s="65" t="inlineStr">
        <is>
          <t>splitter</t>
        </is>
      </c>
      <c r="L441" s="12" t="n"/>
      <c r="M441" s="12" t="n"/>
      <c r="N441" s="12" t="n"/>
      <c r="O441" s="12" t="n"/>
      <c r="P441" s="12" t="n"/>
      <c r="Q441" s="12" t="n"/>
    </row>
    <row r="442" ht="15.6" customFormat="1" customHeight="1" s="8">
      <c r="A442" s="67" t="inlineStr">
        <is>
          <t>Sheet rolling, chromium steel</t>
        </is>
      </c>
      <c r="B442" s="70" t="n">
        <v>64.09999999999999</v>
      </c>
      <c r="C442" s="67" t="inlineStr">
        <is>
          <t>Sheet rolling, chromium steel</t>
        </is>
      </c>
      <c r="D442" s="64" t="inlineStr">
        <is>
          <t>RER</t>
        </is>
      </c>
      <c r="E442" s="64" t="inlineStr">
        <is>
          <t>kilogram</t>
        </is>
      </c>
      <c r="F442" s="64" t="n"/>
      <c r="G442" s="64" t="inlineStr">
        <is>
          <t>technosphere</t>
        </is>
      </c>
      <c r="H442" s="64" t="inlineStr">
        <is>
          <t>bafu</t>
        </is>
      </c>
      <c r="I442" s="65" t="inlineStr">
        <is>
          <t>flange</t>
        </is>
      </c>
      <c r="L442" s="12" t="n"/>
      <c r="M442" s="12" t="n"/>
      <c r="N442" s="12" t="n"/>
      <c r="O442" s="12" t="n"/>
      <c r="P442" s="12" t="n"/>
      <c r="Q442" s="12" t="n"/>
    </row>
    <row r="443" ht="15.6" customFormat="1" customHeight="1" s="8">
      <c r="A443" s="67" t="inlineStr">
        <is>
          <t>Chromium steel 18/8, at plant</t>
        </is>
      </c>
      <c r="B443" s="70" t="n">
        <v>64.09999999999999</v>
      </c>
      <c r="C443" s="67" t="inlineStr">
        <is>
          <t>Chromium steel 18/8, at plant</t>
        </is>
      </c>
      <c r="D443" s="64" t="inlineStr">
        <is>
          <t>RER</t>
        </is>
      </c>
      <c r="E443" s="64" t="inlineStr">
        <is>
          <t>kilogram</t>
        </is>
      </c>
      <c r="F443" s="64" t="n"/>
      <c r="G443" s="64" t="inlineStr">
        <is>
          <t>technosphere</t>
        </is>
      </c>
      <c r="H443" s="64" t="inlineStr">
        <is>
          <t>bafu</t>
        </is>
      </c>
      <c r="I443" s="65" t="inlineStr">
        <is>
          <t>flange</t>
        </is>
      </c>
      <c r="L443" s="12" t="n"/>
      <c r="M443" s="12" t="n"/>
      <c r="N443" s="12" t="n"/>
      <c r="O443" s="12" t="n"/>
      <c r="P443" s="12" t="n"/>
      <c r="Q443" s="12" t="n"/>
    </row>
    <row r="444" ht="15.6" customFormat="1" customHeight="1" s="8">
      <c r="A444" s="67" t="inlineStr">
        <is>
          <t>Sheet rolling, chromium steel</t>
        </is>
      </c>
      <c r="B444" s="70" t="n">
        <v>150.3</v>
      </c>
      <c r="C444" s="67" t="inlineStr">
        <is>
          <t>Sheet rolling, chromium steel</t>
        </is>
      </c>
      <c r="D444" s="64" t="inlineStr">
        <is>
          <t>RER</t>
        </is>
      </c>
      <c r="E444" s="64" t="inlineStr">
        <is>
          <t>kilogram</t>
        </is>
      </c>
      <c r="F444" s="64" t="n"/>
      <c r="G444" s="64" t="inlineStr">
        <is>
          <t>technosphere</t>
        </is>
      </c>
      <c r="H444" s="64" t="inlineStr">
        <is>
          <t>bafu</t>
        </is>
      </c>
      <c r="I444" s="65" t="inlineStr">
        <is>
          <t>vessel</t>
        </is>
      </c>
      <c r="L444" s="12" t="n"/>
      <c r="M444" s="12" t="n"/>
      <c r="N444" s="12" t="n"/>
      <c r="O444" s="12" t="n"/>
      <c r="P444" s="12" t="n"/>
      <c r="Q444" s="12" t="n"/>
    </row>
    <row r="445" ht="15.6" customFormat="1" customHeight="1" s="8">
      <c r="A445" s="67" t="inlineStr">
        <is>
          <t>Chromium steel 18/8, at plant</t>
        </is>
      </c>
      <c r="B445" s="70" t="n">
        <v>150.3</v>
      </c>
      <c r="C445" s="67" t="inlineStr">
        <is>
          <t>Chromium steel 18/8, at plant</t>
        </is>
      </c>
      <c r="D445" s="64" t="inlineStr">
        <is>
          <t>RER</t>
        </is>
      </c>
      <c r="E445" s="64" t="inlineStr">
        <is>
          <t>kilogram</t>
        </is>
      </c>
      <c r="F445" s="64" t="n"/>
      <c r="G445" s="64" t="inlineStr">
        <is>
          <t>technosphere</t>
        </is>
      </c>
      <c r="H445" s="64" t="inlineStr">
        <is>
          <t>bafu</t>
        </is>
      </c>
      <c r="I445" s="65" t="inlineStr">
        <is>
          <t>vessel</t>
        </is>
      </c>
      <c r="L445" s="12" t="n"/>
      <c r="M445" s="12" t="n"/>
      <c r="N445" s="12" t="n"/>
      <c r="O445" s="12" t="n"/>
      <c r="P445" s="12" t="n"/>
      <c r="Q445" s="12" t="n"/>
    </row>
    <row r="446" ht="15.6" customFormat="1" customHeight="1" s="8">
      <c r="A446" s="67" t="inlineStr">
        <is>
          <t>Acrylonitrile-butadiene-styrene copolymer, ABS, at plant</t>
        </is>
      </c>
      <c r="B446" s="70" t="n">
        <v>1.4</v>
      </c>
      <c r="C446" s="67" t="inlineStr">
        <is>
          <t>Acrylonitrile-butadiene-styrene copolymer, ABS, at plant</t>
        </is>
      </c>
      <c r="D446" s="64" t="inlineStr">
        <is>
          <t>RER</t>
        </is>
      </c>
      <c r="E446" s="64" t="inlineStr">
        <is>
          <t>kilogram</t>
        </is>
      </c>
      <c r="F446" s="64" t="n"/>
      <c r="G446" s="64" t="inlineStr">
        <is>
          <t>technosphere</t>
        </is>
      </c>
      <c r="H446" s="64" t="inlineStr">
        <is>
          <t>bafu</t>
        </is>
      </c>
      <c r="I446" s="65" t="inlineStr">
        <is>
          <t>control panel</t>
        </is>
      </c>
      <c r="L446" s="12" t="n"/>
      <c r="M446" s="12" t="n"/>
      <c r="N446" s="12" t="n"/>
      <c r="O446" s="12" t="n"/>
      <c r="P446" s="12" t="n"/>
      <c r="Q446" s="12" t="n"/>
    </row>
    <row r="447" ht="15.6" customFormat="1" customHeight="1" s="8">
      <c r="A447" s="67" t="inlineStr">
        <is>
          <t>Injection moulding</t>
        </is>
      </c>
      <c r="B447" s="70" t="n">
        <v>1.4</v>
      </c>
      <c r="C447" s="67" t="inlineStr">
        <is>
          <t>Injection moulding</t>
        </is>
      </c>
      <c r="D447" s="64" t="inlineStr">
        <is>
          <t>RER</t>
        </is>
      </c>
      <c r="E447" s="64" t="inlineStr">
        <is>
          <t>kilogram</t>
        </is>
      </c>
      <c r="F447" s="64" t="n"/>
      <c r="G447" s="64" t="inlineStr">
        <is>
          <t>technosphere</t>
        </is>
      </c>
      <c r="H447" s="64" t="inlineStr">
        <is>
          <t>bafu</t>
        </is>
      </c>
      <c r="I447" s="65" t="inlineStr">
        <is>
          <t>control panel</t>
        </is>
      </c>
      <c r="L447" s="12" t="n"/>
      <c r="M447" s="12" t="n"/>
      <c r="N447" s="12" t="n"/>
      <c r="O447" s="12" t="n"/>
      <c r="P447" s="12" t="n"/>
      <c r="Q447" s="12" t="n"/>
    </row>
    <row r="448" ht="15.6" customFormat="1" customHeight="1" s="8">
      <c r="A448" s="67" t="inlineStr">
        <is>
          <t>Tube insulation, elastomere, at plant</t>
        </is>
      </c>
      <c r="B448" s="70" t="n">
        <v>1.4</v>
      </c>
      <c r="C448" s="67" t="inlineStr">
        <is>
          <t>Tube insulation, elastomere, at plant</t>
        </is>
      </c>
      <c r="D448" s="64" t="inlineStr">
        <is>
          <t>DE</t>
        </is>
      </c>
      <c r="E448" s="64" t="inlineStr">
        <is>
          <t>kilogram</t>
        </is>
      </c>
      <c r="F448" s="64" t="n"/>
      <c r="G448" s="64" t="inlineStr">
        <is>
          <t>technosphere</t>
        </is>
      </c>
      <c r="H448" s="64" t="inlineStr">
        <is>
          <t>bafu</t>
        </is>
      </c>
      <c r="I448" s="65" t="inlineStr">
        <is>
          <t>control panel</t>
        </is>
      </c>
      <c r="L448" s="12" t="n"/>
      <c r="M448" s="12" t="n"/>
      <c r="N448" s="12" t="n"/>
      <c r="O448" s="12" t="n"/>
      <c r="P448" s="12" t="n"/>
      <c r="Q448" s="12" t="n"/>
    </row>
    <row r="449" ht="15.6" customFormat="1" customHeight="1" s="8">
      <c r="A449" s="67" t="inlineStr">
        <is>
          <t>Copper, primary, at refinery</t>
        </is>
      </c>
      <c r="B449" s="70" t="n">
        <v>2.8</v>
      </c>
      <c r="C449" s="67" t="inlineStr">
        <is>
          <t>Copper, primary, at refinery</t>
        </is>
      </c>
      <c r="D449" s="64" t="inlineStr">
        <is>
          <t>GLO</t>
        </is>
      </c>
      <c r="E449" s="64" t="inlineStr">
        <is>
          <t>kilogram</t>
        </is>
      </c>
      <c r="F449" s="64" t="n"/>
      <c r="G449" s="64" t="inlineStr">
        <is>
          <t>technosphere</t>
        </is>
      </c>
      <c r="H449" s="64" t="inlineStr">
        <is>
          <t>bafu</t>
        </is>
      </c>
      <c r="I449" s="65" t="inlineStr">
        <is>
          <t>control panel</t>
        </is>
      </c>
      <c r="L449" s="12" t="n"/>
      <c r="M449" s="12" t="n"/>
      <c r="N449" s="12" t="n"/>
      <c r="O449" s="12" t="n"/>
      <c r="P449" s="12" t="n"/>
      <c r="Q449" s="12" t="n"/>
    </row>
    <row r="450" ht="15.6" customFormat="1" customHeight="1" s="8">
      <c r="A450" s="67" t="inlineStr">
        <is>
          <t>Wire drawing, copper</t>
        </is>
      </c>
      <c r="B450" s="70" t="n">
        <v>2.8</v>
      </c>
      <c r="C450" s="67" t="inlineStr">
        <is>
          <t>Wire drawing, copper</t>
        </is>
      </c>
      <c r="D450" s="64" t="inlineStr">
        <is>
          <t>RER</t>
        </is>
      </c>
      <c r="E450" s="64" t="inlineStr">
        <is>
          <t>kilogram</t>
        </is>
      </c>
      <c r="F450" s="64" t="n"/>
      <c r="G450" s="64" t="inlineStr">
        <is>
          <t>technosphere</t>
        </is>
      </c>
      <c r="H450" s="64" t="inlineStr">
        <is>
          <t>bafu</t>
        </is>
      </c>
      <c r="I450" s="65" t="inlineStr">
        <is>
          <t>control panel</t>
        </is>
      </c>
      <c r="L450" s="12" t="n"/>
      <c r="M450" s="12" t="n"/>
      <c r="N450" s="12" t="n"/>
      <c r="O450" s="12" t="n"/>
      <c r="P450" s="12" t="n"/>
      <c r="Q450" s="12" t="n"/>
    </row>
    <row r="451" ht="15.6" customFormat="1" customHeight="1" s="8">
      <c r="A451" s="67" t="inlineStr">
        <is>
          <t>Reinforcing steel, at plant</t>
        </is>
      </c>
      <c r="B451" s="70" t="n">
        <v>8.5</v>
      </c>
      <c r="C451" s="67" t="inlineStr">
        <is>
          <t>Reinforcing steel, at plant</t>
        </is>
      </c>
      <c r="D451" s="64" t="inlineStr">
        <is>
          <t>RER</t>
        </is>
      </c>
      <c r="E451" s="64" t="inlineStr">
        <is>
          <t>kilogram</t>
        </is>
      </c>
      <c r="F451" s="64" t="n"/>
      <c r="G451" s="64" t="inlineStr">
        <is>
          <t>technosphere</t>
        </is>
      </c>
      <c r="H451" s="64" t="inlineStr">
        <is>
          <t>bafu</t>
        </is>
      </c>
      <c r="I451" s="65" t="inlineStr">
        <is>
          <t>control panel</t>
        </is>
      </c>
      <c r="L451" s="12" t="n"/>
      <c r="M451" s="12" t="n"/>
      <c r="N451" s="12" t="n"/>
      <c r="O451" s="12" t="n"/>
      <c r="P451" s="12" t="n"/>
      <c r="Q451" s="12" t="n"/>
    </row>
    <row r="452" ht="15.6" customFormat="1" customHeight="1" s="8">
      <c r="A452" s="67" t="inlineStr">
        <is>
          <t>Sheet rolling, steel</t>
        </is>
      </c>
      <c r="B452" s="70" t="n">
        <v>8.5</v>
      </c>
      <c r="C452" s="67" t="inlineStr">
        <is>
          <t>Sheet rolling, steel</t>
        </is>
      </c>
      <c r="D452" s="64" t="inlineStr">
        <is>
          <t>RER</t>
        </is>
      </c>
      <c r="E452" s="64" t="inlineStr">
        <is>
          <t>kilogram</t>
        </is>
      </c>
      <c r="F452" s="64" t="n"/>
      <c r="G452" s="64" t="inlineStr">
        <is>
          <t>technosphere</t>
        </is>
      </c>
      <c r="H452" s="64" t="inlineStr">
        <is>
          <t>bafu</t>
        </is>
      </c>
      <c r="I452" s="65" t="inlineStr">
        <is>
          <t>control panel</t>
        </is>
      </c>
      <c r="L452" s="12" t="n"/>
      <c r="M452" s="12" t="n"/>
      <c r="N452" s="12" t="n"/>
      <c r="O452" s="12" t="n"/>
      <c r="P452" s="12" t="n"/>
      <c r="Q452" s="12" t="n"/>
    </row>
    <row r="453" ht="15.6" customFormat="1" customHeight="1" s="8">
      <c r="A453" s="67" t="inlineStr">
        <is>
          <t>Reinforcing steel, at plant</t>
        </is>
      </c>
      <c r="B453" s="70" t="n">
        <v>452.1</v>
      </c>
      <c r="C453" s="67" t="inlineStr">
        <is>
          <t>Reinforcing steel, at plant</t>
        </is>
      </c>
      <c r="D453" s="64" t="inlineStr">
        <is>
          <t>RER</t>
        </is>
      </c>
      <c r="E453" s="64" t="inlineStr">
        <is>
          <t>kilogram</t>
        </is>
      </c>
      <c r="F453" s="64" t="n"/>
      <c r="G453" s="64" t="inlineStr">
        <is>
          <t>technosphere</t>
        </is>
      </c>
      <c r="H453" s="64" t="inlineStr">
        <is>
          <t>bafu</t>
        </is>
      </c>
      <c r="I453" s="65" t="inlineStr">
        <is>
          <t>skid component</t>
        </is>
      </c>
      <c r="L453" s="12" t="n"/>
      <c r="M453" s="12" t="n"/>
      <c r="N453" s="12" t="n"/>
      <c r="O453" s="12" t="n"/>
      <c r="P453" s="12" t="n"/>
      <c r="Q453" s="12" t="n"/>
    </row>
    <row r="454" ht="15.6" customFormat="1" customHeight="1" s="8">
      <c r="A454" s="67" t="inlineStr">
        <is>
          <t>Sheet rolling, steel</t>
        </is>
      </c>
      <c r="B454" s="70" t="n">
        <v>452.1</v>
      </c>
      <c r="C454" s="67" t="inlineStr">
        <is>
          <t>Sheet rolling, steel</t>
        </is>
      </c>
      <c r="D454" s="64" t="inlineStr">
        <is>
          <t>RER</t>
        </is>
      </c>
      <c r="E454" s="64" t="inlineStr">
        <is>
          <t>kilogram</t>
        </is>
      </c>
      <c r="F454" s="64" t="n"/>
      <c r="G454" s="64" t="inlineStr">
        <is>
          <t>technosphere</t>
        </is>
      </c>
      <c r="H454" s="64" t="inlineStr">
        <is>
          <t>bafu</t>
        </is>
      </c>
      <c r="I454" s="65" t="inlineStr">
        <is>
          <t>skid component</t>
        </is>
      </c>
      <c r="L454" s="12" t="n"/>
      <c r="M454" s="12" t="n"/>
      <c r="N454" s="12" t="n"/>
      <c r="O454" s="12" t="n"/>
      <c r="P454" s="12" t="n"/>
      <c r="Q454" s="12" t="n"/>
    </row>
    <row r="455" ht="15.6" customFormat="1" customHeight="1" s="8">
      <c r="A455" s="67" t="inlineStr">
        <is>
          <t>Reinforcing steel, at plant</t>
        </is>
      </c>
      <c r="B455" s="70" t="n">
        <v>399</v>
      </c>
      <c r="C455" s="67" t="inlineStr">
        <is>
          <t>Reinforcing steel, at plant</t>
        </is>
      </c>
      <c r="D455" s="64" t="inlineStr">
        <is>
          <t>RER</t>
        </is>
      </c>
      <c r="E455" s="64" t="inlineStr">
        <is>
          <t>kilogram</t>
        </is>
      </c>
      <c r="F455" s="64" t="n"/>
      <c r="G455" s="64" t="inlineStr">
        <is>
          <t>technosphere</t>
        </is>
      </c>
      <c r="H455" s="64" t="inlineStr">
        <is>
          <t>bafu</t>
        </is>
      </c>
      <c r="I455" s="65" t="inlineStr">
        <is>
          <t>separator</t>
        </is>
      </c>
      <c r="L455" s="12" t="n"/>
      <c r="M455" s="12" t="n"/>
      <c r="N455" s="12" t="n"/>
      <c r="O455" s="12" t="n"/>
      <c r="P455" s="12" t="n"/>
      <c r="Q455" s="12" t="n"/>
    </row>
    <row r="456" ht="15.6" customFormat="1" customHeight="1" s="8">
      <c r="A456" s="67" t="inlineStr">
        <is>
          <t>Sheet rolling, steel</t>
        </is>
      </c>
      <c r="B456" s="70" t="n">
        <v>399</v>
      </c>
      <c r="C456" s="67" t="inlineStr">
        <is>
          <t>Sheet rolling, steel</t>
        </is>
      </c>
      <c r="D456" s="64" t="inlineStr">
        <is>
          <t>RER</t>
        </is>
      </c>
      <c r="E456" s="64" t="inlineStr">
        <is>
          <t>kilogram</t>
        </is>
      </c>
      <c r="F456" s="64" t="n"/>
      <c r="G456" s="64" t="inlineStr">
        <is>
          <t>technosphere</t>
        </is>
      </c>
      <c r="H456" s="64" t="inlineStr">
        <is>
          <t>bafu</t>
        </is>
      </c>
      <c r="I456" s="65" t="inlineStr">
        <is>
          <t>separator</t>
        </is>
      </c>
      <c r="L456" s="12" t="n"/>
      <c r="M456" s="12" t="n"/>
      <c r="N456" s="12" t="n"/>
      <c r="O456" s="12" t="n"/>
      <c r="P456" s="12" t="n"/>
      <c r="Q456" s="12" t="n"/>
    </row>
    <row r="457" ht="15.6" customFormat="1" customHeight="1" s="8">
      <c r="A457" s="67" t="inlineStr">
        <is>
          <t>Reinforcing steel, at plant</t>
        </is>
      </c>
      <c r="B457" s="70" t="n">
        <v>7</v>
      </c>
      <c r="C457" s="67" t="inlineStr">
        <is>
          <t>Reinforcing steel, at plant</t>
        </is>
      </c>
      <c r="D457" s="64" t="inlineStr">
        <is>
          <t>RER</t>
        </is>
      </c>
      <c r="E457" s="64" t="inlineStr">
        <is>
          <t>kilogram</t>
        </is>
      </c>
      <c r="F457" s="64" t="n"/>
      <c r="G457" s="64" t="inlineStr">
        <is>
          <t>technosphere</t>
        </is>
      </c>
      <c r="H457" s="64" t="inlineStr">
        <is>
          <t>bafu</t>
        </is>
      </c>
      <c r="I457" s="65" t="inlineStr">
        <is>
          <t>water pump</t>
        </is>
      </c>
      <c r="L457" s="12" t="n"/>
      <c r="M457" s="12" t="n"/>
      <c r="N457" s="12" t="n"/>
      <c r="O457" s="12" t="n"/>
      <c r="P457" s="12" t="n"/>
      <c r="Q457" s="12" t="n"/>
    </row>
    <row r="458" ht="15.6" customFormat="1" customHeight="1" s="8">
      <c r="A458" s="67" t="inlineStr">
        <is>
          <t>Sheet rolling, steel</t>
        </is>
      </c>
      <c r="B458" s="70" t="n">
        <v>7</v>
      </c>
      <c r="C458" s="67" t="inlineStr">
        <is>
          <t>Sheet rolling, steel</t>
        </is>
      </c>
      <c r="D458" s="64" t="inlineStr">
        <is>
          <t>RER</t>
        </is>
      </c>
      <c r="E458" s="64" t="inlineStr">
        <is>
          <t>kilogram</t>
        </is>
      </c>
      <c r="F458" s="64" t="n"/>
      <c r="G458" s="64" t="inlineStr">
        <is>
          <t>technosphere</t>
        </is>
      </c>
      <c r="H458" s="64" t="inlineStr">
        <is>
          <t>bafu</t>
        </is>
      </c>
      <c r="I458" s="65" t="inlineStr">
        <is>
          <t>water pump</t>
        </is>
      </c>
      <c r="L458" s="12" t="n"/>
      <c r="M458" s="12" t="n"/>
      <c r="N458" s="12" t="n"/>
      <c r="O458" s="12" t="n"/>
      <c r="P458" s="12" t="n"/>
      <c r="Q458" s="12" t="n"/>
    </row>
    <row r="459" ht="15.6" customFormat="1" customHeight="1" s="8">
      <c r="A459" s="67" t="inlineStr">
        <is>
          <t>Aluminium, production mix, wrought alloy, at plant</t>
        </is>
      </c>
      <c r="B459" s="70" t="n">
        <v>1</v>
      </c>
      <c r="C459" s="67" t="inlineStr">
        <is>
          <t>Aluminium, production mix, wrought alloy, at plant</t>
        </is>
      </c>
      <c r="D459" s="64" t="inlineStr">
        <is>
          <t>RER</t>
        </is>
      </c>
      <c r="E459" s="64" t="inlineStr">
        <is>
          <t>kilogram</t>
        </is>
      </c>
      <c r="F459" s="64" t="n"/>
      <c r="G459" s="64" t="inlineStr">
        <is>
          <t>technosphere</t>
        </is>
      </c>
      <c r="H459" s="64" t="inlineStr">
        <is>
          <t>bafu</t>
        </is>
      </c>
      <c r="I459" s="65" t="inlineStr">
        <is>
          <t>frequency converter -water pump</t>
        </is>
      </c>
      <c r="L459" s="12" t="n"/>
      <c r="M459" s="12" t="n"/>
      <c r="N459" s="12" t="n"/>
      <c r="O459" s="12" t="n"/>
      <c r="P459" s="12" t="n"/>
      <c r="Q459" s="12" t="n"/>
    </row>
    <row r="460" ht="15.6" customFormat="1" customHeight="1" s="8">
      <c r="A460" s="67" t="inlineStr">
        <is>
          <t>Copper, primary, at refinery</t>
        </is>
      </c>
      <c r="B460" s="70" t="n">
        <v>0.7</v>
      </c>
      <c r="C460" s="67" t="inlineStr">
        <is>
          <t>Copper, primary, at refinery</t>
        </is>
      </c>
      <c r="D460" s="64" t="inlineStr">
        <is>
          <t>GLO</t>
        </is>
      </c>
      <c r="E460" s="64" t="inlineStr">
        <is>
          <t>kilogram</t>
        </is>
      </c>
      <c r="F460" s="64" t="n"/>
      <c r="G460" s="64" t="inlineStr">
        <is>
          <t>technosphere</t>
        </is>
      </c>
      <c r="H460" s="64" t="inlineStr">
        <is>
          <t>bafu</t>
        </is>
      </c>
      <c r="I460" s="65" t="inlineStr">
        <is>
          <t>frequency converter -water pump</t>
        </is>
      </c>
      <c r="L460" s="12" t="n"/>
      <c r="M460" s="12" t="n"/>
      <c r="N460" s="12" t="n"/>
      <c r="O460" s="12" t="n"/>
      <c r="P460" s="12" t="n"/>
      <c r="Q460" s="12" t="n"/>
    </row>
    <row r="461" ht="15.6" customFormat="1" customHeight="1" s="8">
      <c r="A461" s="67" t="inlineStr">
        <is>
          <t>Reinforcing steel, at plant</t>
        </is>
      </c>
      <c r="B461" s="70" t="n">
        <v>3</v>
      </c>
      <c r="C461" s="67" t="inlineStr">
        <is>
          <t>Reinforcing steel, at plant</t>
        </is>
      </c>
      <c r="D461" s="64" t="inlineStr">
        <is>
          <t>RER</t>
        </is>
      </c>
      <c r="E461" s="64" t="inlineStr">
        <is>
          <t>kilogram</t>
        </is>
      </c>
      <c r="F461" s="64" t="n"/>
      <c r="G461" s="64" t="inlineStr">
        <is>
          <t>technosphere</t>
        </is>
      </c>
      <c r="H461" s="64" t="inlineStr">
        <is>
          <t>bafu</t>
        </is>
      </c>
      <c r="I461" s="65" t="inlineStr">
        <is>
          <t>frequency converter -water pump</t>
        </is>
      </c>
      <c r="L461" s="12" t="n"/>
      <c r="M461" s="12" t="n"/>
      <c r="N461" s="12" t="n"/>
      <c r="O461" s="12" t="n"/>
      <c r="P461" s="12" t="n"/>
      <c r="Q461" s="12" t="n"/>
    </row>
    <row r="462" ht="15.6" customFormat="1" customHeight="1" s="8">
      <c r="A462" s="67" t="inlineStr">
        <is>
          <t>Tube insulation, elastomere, at plant</t>
        </is>
      </c>
      <c r="B462" s="70" t="n">
        <v>0.2</v>
      </c>
      <c r="C462" s="67" t="inlineStr">
        <is>
          <t>Tube insulation, elastomere, at plant</t>
        </is>
      </c>
      <c r="D462" s="64" t="inlineStr">
        <is>
          <t>DE</t>
        </is>
      </c>
      <c r="E462" s="64" t="inlineStr">
        <is>
          <t>kilogram</t>
        </is>
      </c>
      <c r="F462" s="64" t="n"/>
      <c r="G462" s="64" t="inlineStr">
        <is>
          <t>technosphere</t>
        </is>
      </c>
      <c r="H462" s="64" t="inlineStr">
        <is>
          <t>bafu</t>
        </is>
      </c>
      <c r="I462" s="65" t="inlineStr">
        <is>
          <t>frequency converter -water pump</t>
        </is>
      </c>
      <c r="L462" s="12" t="n"/>
      <c r="M462" s="12" t="n"/>
      <c r="N462" s="12" t="n"/>
      <c r="O462" s="12" t="n"/>
      <c r="P462" s="12" t="n"/>
      <c r="Q462" s="12" t="n"/>
    </row>
    <row r="463" ht="15.6" customFormat="1" customHeight="1" s="8">
      <c r="A463" s="67" t="inlineStr">
        <is>
          <t>Wire drawing, copper</t>
        </is>
      </c>
      <c r="B463" s="70" t="n">
        <v>0.7</v>
      </c>
      <c r="C463" s="67" t="inlineStr">
        <is>
          <t>Wire drawing, copper</t>
        </is>
      </c>
      <c r="D463" s="64" t="inlineStr">
        <is>
          <t>RER</t>
        </is>
      </c>
      <c r="E463" s="64" t="inlineStr">
        <is>
          <t>kilogram</t>
        </is>
      </c>
      <c r="F463" s="64" t="n"/>
      <c r="G463" s="64" t="inlineStr">
        <is>
          <t>technosphere</t>
        </is>
      </c>
      <c r="H463" s="64" t="inlineStr">
        <is>
          <t>bafu</t>
        </is>
      </c>
      <c r="I463" s="65" t="inlineStr">
        <is>
          <t>frequency converter -water pump</t>
        </is>
      </c>
      <c r="L463" s="12" t="n"/>
      <c r="M463" s="12" t="n"/>
      <c r="N463" s="12" t="n"/>
      <c r="O463" s="12" t="n"/>
      <c r="P463" s="12" t="n"/>
      <c r="Q463" s="12" t="n"/>
    </row>
    <row r="464" ht="15.6" customFormat="1" customHeight="1" s="8">
      <c r="A464" s="67" t="inlineStr">
        <is>
          <t>Steel, low-alloyed, at plant</t>
        </is>
      </c>
      <c r="B464" s="70" t="n">
        <v>1503.6</v>
      </c>
      <c r="C464" s="67" t="inlineStr">
        <is>
          <t>Steel, low-alloyed, at plant</t>
        </is>
      </c>
      <c r="D464" s="64" t="inlineStr">
        <is>
          <t>RER</t>
        </is>
      </c>
      <c r="E464" s="64" t="inlineStr">
        <is>
          <t>kilogram</t>
        </is>
      </c>
      <c r="F464" s="64" t="n"/>
      <c r="G464" s="64" t="inlineStr">
        <is>
          <t>technosphere</t>
        </is>
      </c>
      <c r="H464" s="64" t="inlineStr">
        <is>
          <t>bafu</t>
        </is>
      </c>
      <c r="I464" s="65" t="inlineStr">
        <is>
          <t>tubing</t>
        </is>
      </c>
      <c r="L464" s="12" t="n"/>
      <c r="M464" s="12" t="n"/>
      <c r="N464" s="12" t="n"/>
      <c r="O464" s="12" t="n"/>
      <c r="P464" s="12" t="n"/>
      <c r="Q464" s="12" t="n"/>
    </row>
    <row r="465" ht="15.6" customFormat="1" customHeight="1" s="8">
      <c r="A465" s="67" t="inlineStr">
        <is>
          <t>Sheet rolling, steel</t>
        </is>
      </c>
      <c r="B465" s="70" t="n">
        <v>1503.6</v>
      </c>
      <c r="C465" s="67" t="inlineStr">
        <is>
          <t>Sheet rolling, steel</t>
        </is>
      </c>
      <c r="D465" s="64" t="inlineStr">
        <is>
          <t>RER</t>
        </is>
      </c>
      <c r="E465" s="64" t="inlineStr">
        <is>
          <t>kilogram</t>
        </is>
      </c>
      <c r="F465" s="64" t="n"/>
      <c r="G465" s="64" t="inlineStr">
        <is>
          <t>technosphere</t>
        </is>
      </c>
      <c r="H465" s="64" t="inlineStr">
        <is>
          <t>bafu</t>
        </is>
      </c>
      <c r="I465" s="65" t="inlineStr">
        <is>
          <t>tubing</t>
        </is>
      </c>
      <c r="L465" s="12" t="n"/>
      <c r="M465" s="12" t="n"/>
      <c r="N465" s="12" t="n"/>
      <c r="O465" s="12" t="n"/>
      <c r="P465" s="12" t="n"/>
      <c r="Q465" s="12" t="n"/>
    </row>
    <row r="466" ht="15.6" customFormat="1" customHeight="1" s="8">
      <c r="A466" s="67" t="inlineStr">
        <is>
          <t>Extrusion, plastic pipes</t>
        </is>
      </c>
      <c r="B466" s="70" t="n">
        <v>534</v>
      </c>
      <c r="C466" s="67" t="inlineStr">
        <is>
          <t>Extrusion, plastic pipes</t>
        </is>
      </c>
      <c r="D466" s="64" t="inlineStr">
        <is>
          <t>RER</t>
        </is>
      </c>
      <c r="E466" s="64" t="inlineStr">
        <is>
          <t>kilogram</t>
        </is>
      </c>
      <c r="F466" s="64" t="n"/>
      <c r="G466" s="64" t="inlineStr">
        <is>
          <t>technosphere</t>
        </is>
      </c>
      <c r="H466" s="64" t="inlineStr">
        <is>
          <t>bafu</t>
        </is>
      </c>
      <c r="I466" s="65" t="inlineStr">
        <is>
          <t>water purifier &amp; feed tank</t>
        </is>
      </c>
      <c r="L466" s="12" t="n"/>
      <c r="M466" s="12" t="n"/>
      <c r="N466" s="12" t="n"/>
      <c r="O466" s="12" t="n"/>
      <c r="P466" s="12" t="n"/>
      <c r="Q466" s="12" t="n"/>
    </row>
    <row r="467" ht="15.6" customFormat="1" customHeight="1" s="8">
      <c r="A467" s="67" t="inlineStr">
        <is>
          <t>Polyethylene, LDPE, granulate, at plant</t>
        </is>
      </c>
      <c r="B467" s="70" t="n">
        <v>534</v>
      </c>
      <c r="C467" s="67" t="inlineStr">
        <is>
          <t>Polyethylene, LDPE, granulate, at plant</t>
        </is>
      </c>
      <c r="D467" s="64" t="inlineStr">
        <is>
          <t>RER</t>
        </is>
      </c>
      <c r="E467" s="64" t="inlineStr">
        <is>
          <t>kilogram</t>
        </is>
      </c>
      <c r="F467" s="64" t="n"/>
      <c r="G467" s="64" t="inlineStr">
        <is>
          <t>technosphere</t>
        </is>
      </c>
      <c r="H467" s="64" t="inlineStr">
        <is>
          <t>bafu</t>
        </is>
      </c>
      <c r="I467" s="65" t="inlineStr">
        <is>
          <t>water purifier &amp; feed tank</t>
        </is>
      </c>
      <c r="L467" s="12" t="n"/>
      <c r="M467" s="12" t="n"/>
      <c r="N467" s="12" t="n"/>
      <c r="O467" s="12" t="n"/>
      <c r="P467" s="12" t="n"/>
      <c r="Q467" s="12" t="n"/>
    </row>
    <row r="468" ht="15.6" customFormat="1" customHeight="1" s="8">
      <c r="A468" s="67" t="inlineStr">
        <is>
          <t>Reinforcing steel, at plant</t>
        </is>
      </c>
      <c r="B468" s="70" t="n">
        <v>267</v>
      </c>
      <c r="C468" s="67" t="inlineStr">
        <is>
          <t>Reinforcing steel, at plant</t>
        </is>
      </c>
      <c r="D468" s="64" t="inlineStr">
        <is>
          <t>RER</t>
        </is>
      </c>
      <c r="E468" s="64" t="inlineStr">
        <is>
          <t>kilogram</t>
        </is>
      </c>
      <c r="F468" s="64" t="n"/>
      <c r="G468" s="64" t="inlineStr">
        <is>
          <t>technosphere</t>
        </is>
      </c>
      <c r="H468" s="64" t="inlineStr">
        <is>
          <t>bafu</t>
        </is>
      </c>
      <c r="I468" s="65" t="inlineStr">
        <is>
          <t>water purifier &amp; feed tank</t>
        </is>
      </c>
      <c r="L468" s="12" t="n"/>
      <c r="M468" s="12" t="n"/>
      <c r="N468" s="12" t="n"/>
      <c r="O468" s="12" t="n"/>
      <c r="P468" s="12" t="n"/>
      <c r="Q468" s="12" t="n"/>
    </row>
    <row r="469" ht="15.6" customFormat="1" customHeight="1" s="8">
      <c r="A469" s="67" t="inlineStr">
        <is>
          <t>Sheet rolling, steel</t>
        </is>
      </c>
      <c r="B469" s="70" t="n">
        <v>267</v>
      </c>
      <c r="C469" s="67" t="inlineStr">
        <is>
          <t>Sheet rolling, steel</t>
        </is>
      </c>
      <c r="D469" s="64" t="inlineStr">
        <is>
          <t>RER</t>
        </is>
      </c>
      <c r="E469" s="64" t="inlineStr">
        <is>
          <t>kilogram</t>
        </is>
      </c>
      <c r="F469" s="64" t="n"/>
      <c r="G469" s="64" t="inlineStr">
        <is>
          <t>technosphere</t>
        </is>
      </c>
      <c r="H469" s="64" t="inlineStr">
        <is>
          <t>bafu</t>
        </is>
      </c>
      <c r="I469" s="65" t="inlineStr">
        <is>
          <t>water purifier &amp; feed tank</t>
        </is>
      </c>
      <c r="L469" s="12" t="n"/>
      <c r="M469" s="12" t="n"/>
      <c r="N469" s="12" t="n"/>
      <c r="O469" s="12" t="n"/>
      <c r="P469" s="12" t="n"/>
      <c r="Q469" s="12" t="n"/>
    </row>
    <row r="470" ht="15.6" customFormat="1" customHeight="1" s="8">
      <c r="A470" s="67" t="inlineStr">
        <is>
          <t>Sheet rolling, chromium steel</t>
        </is>
      </c>
      <c r="B470" s="70" t="n">
        <v>588</v>
      </c>
      <c r="C470" s="67" t="inlineStr">
        <is>
          <t>Sheet rolling, chromium steel</t>
        </is>
      </c>
      <c r="D470" s="64" t="inlineStr">
        <is>
          <t>RER</t>
        </is>
      </c>
      <c r="E470" s="64" t="inlineStr">
        <is>
          <t>kilogram</t>
        </is>
      </c>
      <c r="F470" s="64" t="n"/>
      <c r="G470" s="64" t="inlineStr">
        <is>
          <t>technosphere</t>
        </is>
      </c>
      <c r="H470" s="64" t="inlineStr">
        <is>
          <t>bafu</t>
        </is>
      </c>
      <c r="I470" s="65" t="inlineStr">
        <is>
          <t>buffer tank</t>
        </is>
      </c>
      <c r="L470" s="12" t="n"/>
      <c r="M470" s="12" t="n"/>
      <c r="N470" s="12" t="n"/>
      <c r="O470" s="12" t="n"/>
      <c r="P470" s="12" t="n"/>
      <c r="Q470" s="12" t="n"/>
    </row>
    <row r="471" ht="15.6" customFormat="1" customHeight="1" s="8">
      <c r="A471" s="67" t="inlineStr">
        <is>
          <t>Chromium steel 18/8, at plant</t>
        </is>
      </c>
      <c r="B471" s="70" t="n">
        <v>588</v>
      </c>
      <c r="C471" s="67" t="inlineStr">
        <is>
          <t>Chromium steel 18/8, at plant</t>
        </is>
      </c>
      <c r="D471" s="64" t="inlineStr">
        <is>
          <t>RER</t>
        </is>
      </c>
      <c r="E471" s="64" t="inlineStr">
        <is>
          <t>kilogram</t>
        </is>
      </c>
      <c r="F471" s="64" t="n"/>
      <c r="G471" s="64" t="inlineStr">
        <is>
          <t>technosphere</t>
        </is>
      </c>
      <c r="H471" s="64" t="inlineStr">
        <is>
          <t>bafu</t>
        </is>
      </c>
      <c r="I471" s="65" t="inlineStr">
        <is>
          <t>buffer tank</t>
        </is>
      </c>
      <c r="L471" s="12" t="n"/>
      <c r="M471" s="12" t="n"/>
      <c r="N471" s="12" t="n"/>
      <c r="O471" s="12" t="n"/>
      <c r="P471" s="12" t="n"/>
      <c r="Q471" s="12" t="n"/>
    </row>
    <row r="472" ht="15.6" customFormat="1" customHeight="1" s="8">
      <c r="A472" s="67" t="inlineStr">
        <is>
          <t>Welding, arc, steel</t>
        </is>
      </c>
      <c r="B472" s="70" t="n">
        <v>33.3</v>
      </c>
      <c r="C472" s="67" t="inlineStr">
        <is>
          <t>Welding, arc, steel</t>
        </is>
      </c>
      <c r="D472" s="64" t="inlineStr">
        <is>
          <t>RER</t>
        </is>
      </c>
      <c r="E472" s="64" t="inlineStr">
        <is>
          <t>meter</t>
        </is>
      </c>
      <c r="F472" s="64" t="n"/>
      <c r="G472" s="64" t="inlineStr">
        <is>
          <t>technosphere</t>
        </is>
      </c>
      <c r="H472" s="64" t="inlineStr">
        <is>
          <t>bafu</t>
        </is>
      </c>
      <c r="I472" s="65" t="inlineStr">
        <is>
          <t>buffer tank</t>
        </is>
      </c>
      <c r="L472" s="12" t="n"/>
      <c r="M472" s="12" t="n"/>
      <c r="N472" s="12" t="n"/>
      <c r="O472" s="12" t="n"/>
      <c r="P472" s="12" t="n"/>
      <c r="Q472" s="12" t="n"/>
    </row>
    <row r="473" ht="15.6" customFormat="1" customHeight="1" s="8">
      <c r="A473" s="67" t="inlineStr">
        <is>
          <t>Sheet rolling, steel</t>
        </is>
      </c>
      <c r="B473" s="70" t="n">
        <v>2250</v>
      </c>
      <c r="C473" s="67" t="inlineStr">
        <is>
          <t>Sheet rolling, steel</t>
        </is>
      </c>
      <c r="D473" s="64" t="inlineStr">
        <is>
          <t>RER</t>
        </is>
      </c>
      <c r="E473" s="64" t="inlineStr">
        <is>
          <t>kilogram</t>
        </is>
      </c>
      <c r="F473" s="64" t="n"/>
      <c r="G473" s="64" t="inlineStr">
        <is>
          <t>technosphere</t>
        </is>
      </c>
      <c r="H473" s="64" t="inlineStr">
        <is>
          <t>bafu</t>
        </is>
      </c>
      <c r="I473" s="65" t="inlineStr">
        <is>
          <t>container</t>
        </is>
      </c>
      <c r="L473" s="12" t="n"/>
      <c r="M473" s="12" t="n"/>
      <c r="N473" s="12" t="n"/>
      <c r="O473" s="12" t="n"/>
      <c r="P473" s="12" t="n"/>
      <c r="Q473" s="12" t="n"/>
    </row>
    <row r="474" ht="15.6" customFormat="1" customHeight="1" s="8">
      <c r="A474" s="67" t="inlineStr">
        <is>
          <t>Steel, low-alloyed, at plant</t>
        </is>
      </c>
      <c r="B474" s="70" t="n">
        <v>2250</v>
      </c>
      <c r="C474" s="67" t="inlineStr">
        <is>
          <t>Steel, low-alloyed, at plant</t>
        </is>
      </c>
      <c r="D474" s="64" t="inlineStr">
        <is>
          <t>RER</t>
        </is>
      </c>
      <c r="E474" s="64" t="inlineStr">
        <is>
          <t>kilogram</t>
        </is>
      </c>
      <c r="F474" s="64" t="n"/>
      <c r="G474" s="64" t="inlineStr">
        <is>
          <t>technosphere</t>
        </is>
      </c>
      <c r="H474" s="64" t="inlineStr">
        <is>
          <t>bafu</t>
        </is>
      </c>
      <c r="I474" s="65" t="inlineStr">
        <is>
          <t>container</t>
        </is>
      </c>
      <c r="L474" s="12" t="n"/>
      <c r="M474" s="12" t="n"/>
      <c r="N474" s="12" t="n"/>
      <c r="O474" s="12" t="n"/>
      <c r="P474" s="12" t="n"/>
      <c r="Q474" s="12" t="n"/>
    </row>
    <row r="475" ht="15.6" customFormat="1" customHeight="1" s="8">
      <c r="A475" s="67" t="inlineStr">
        <is>
          <t>Concrete, normal, at plant</t>
        </is>
      </c>
      <c r="B475" s="70" t="n">
        <v>2.3</v>
      </c>
      <c r="C475" s="67" t="inlineStr">
        <is>
          <t>Concrete, normal, at plant</t>
        </is>
      </c>
      <c r="D475" s="64" t="inlineStr">
        <is>
          <t>CH</t>
        </is>
      </c>
      <c r="E475" s="64" t="inlineStr">
        <is>
          <t>cubic meter</t>
        </is>
      </c>
      <c r="F475" s="64" t="n"/>
      <c r="G475" s="64" t="inlineStr">
        <is>
          <t>technosphere</t>
        </is>
      </c>
      <c r="H475" s="64" t="inlineStr">
        <is>
          <t>bafu</t>
        </is>
      </c>
      <c r="I475" s="65" t="inlineStr">
        <is>
          <t>foundation</t>
        </is>
      </c>
      <c r="L475" s="12" t="n"/>
      <c r="M475" s="12" t="n"/>
      <c r="N475" s="12" t="n"/>
      <c r="O475" s="12" t="n"/>
      <c r="P475" s="12" t="n"/>
      <c r="Q475" s="12" t="n"/>
    </row>
    <row r="476" ht="15.6" customFormat="1" customHeight="1" s="8">
      <c r="A476" s="64" t="inlineStr">
        <is>
          <t>Electricity, low voltage, at grid</t>
        </is>
      </c>
      <c r="B476" s="70" t="n">
        <v>76420.2</v>
      </c>
      <c r="C476" s="64" t="inlineStr">
        <is>
          <t>Electricity, low voltage, at grid</t>
        </is>
      </c>
      <c r="D476" s="64" t="inlineStr">
        <is>
          <t>GLO</t>
        </is>
      </c>
      <c r="E476" s="64" t="inlineStr">
        <is>
          <t>kilowatt hour</t>
        </is>
      </c>
      <c r="F476" s="64" t="n"/>
      <c r="G476" s="64" t="inlineStr">
        <is>
          <t>technosphere</t>
        </is>
      </c>
      <c r="H476" s="64" t="inlineStr">
        <is>
          <t>bafu</t>
        </is>
      </c>
      <c r="I476" s="64" t="inlineStr">
        <is>
          <t>assembly energy</t>
        </is>
      </c>
      <c r="L476" s="12" t="n"/>
      <c r="M476" s="12" t="n"/>
      <c r="N476" s="12" t="n"/>
      <c r="O476" s="12" t="n"/>
      <c r="P476" s="12" t="n"/>
      <c r="Q476" s="12" t="n"/>
    </row>
    <row r="477" ht="15" customFormat="1" customHeight="1" s="8">
      <c r="B477" s="9" t="n"/>
      <c r="C477" s="7" t="n"/>
      <c r="G477" s="7" t="n"/>
      <c r="H477" s="7" t="n"/>
      <c r="L477" s="9" t="n"/>
      <c r="M477" s="9" t="n"/>
      <c r="N477" s="9" t="n"/>
      <c r="O477" s="9" t="n"/>
      <c r="P477" s="9" t="n"/>
      <c r="Q477" s="9" t="n"/>
    </row>
    <row r="478" ht="15.6" customFormat="1" customHeight="1" s="8">
      <c r="A478" s="63" t="inlineStr">
        <is>
          <t>Activity</t>
        </is>
      </c>
      <c r="B478" s="88" t="inlineStr">
        <is>
          <t>treatment of fuel cell balance of plant, 1MWe, SOEC</t>
        </is>
      </c>
      <c r="C478" s="64" t="n"/>
      <c r="D478" s="64" t="n"/>
      <c r="E478" s="64" t="n"/>
      <c r="F478" s="64" t="n"/>
      <c r="G478" s="64" t="n"/>
      <c r="H478" s="64" t="n"/>
      <c r="I478" s="64" t="n"/>
      <c r="L478" s="9" t="n"/>
      <c r="M478" s="9" t="n"/>
      <c r="N478" s="9" t="n"/>
      <c r="O478" s="9" t="n"/>
      <c r="P478" s="9" t="n"/>
      <c r="Q478" s="9" t="n"/>
    </row>
    <row r="479" ht="15" customFormat="1" customHeight="1" s="8">
      <c r="A479" s="66" t="inlineStr">
        <is>
          <t>production amount</t>
        </is>
      </c>
      <c r="B479" s="89" t="n">
        <v>1</v>
      </c>
      <c r="C479" s="64" t="n"/>
      <c r="D479" s="64" t="n"/>
      <c r="E479" s="64" t="n"/>
      <c r="F479" s="64" t="n"/>
      <c r="G479" s="64" t="n"/>
      <c r="H479" s="64" t="n"/>
      <c r="I479" s="64" t="n"/>
      <c r="L479" s="9" t="n"/>
      <c r="M479" s="9" t="n"/>
      <c r="N479" s="9" t="n"/>
      <c r="O479" s="9" t="n"/>
      <c r="P479" s="9" t="n"/>
      <c r="Q479" s="9" t="n"/>
    </row>
    <row r="480" ht="15" customFormat="1" customHeight="1" s="8">
      <c r="A480" s="66" t="inlineStr">
        <is>
          <t>comment</t>
        </is>
      </c>
      <c r="B480" s="89" t="inlineStr">
        <is>
          <t>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 Values have already been multiplied by 3 to reflect 2 stack replacements over 20 years of use.</t>
        </is>
      </c>
      <c r="C480" s="64" t="n"/>
      <c r="D480" s="64" t="n"/>
      <c r="E480" s="64" t="n"/>
      <c r="F480" s="64" t="n"/>
      <c r="G480" s="64" t="n"/>
      <c r="H480" s="64" t="n"/>
      <c r="I480" s="64" t="n"/>
      <c r="L480" s="9" t="n"/>
      <c r="M480" s="9" t="n"/>
      <c r="N480" s="9" t="n"/>
      <c r="O480" s="9" t="n"/>
      <c r="P480" s="9" t="n"/>
      <c r="Q480" s="9" t="n"/>
    </row>
    <row r="481" ht="15" customFormat="1" customHeight="1" s="8">
      <c r="A481" s="66" t="inlineStr">
        <is>
          <t>reference product</t>
        </is>
      </c>
      <c r="B481" s="70" t="inlineStr">
        <is>
          <t>used fuel cell balance of plant, 1MWe, SOEC</t>
        </is>
      </c>
      <c r="C481" s="64" t="n"/>
      <c r="D481" s="64" t="n"/>
      <c r="E481" s="64" t="n"/>
      <c r="F481" s="64" t="n"/>
      <c r="G481" s="64" t="n"/>
      <c r="H481" s="64" t="n"/>
      <c r="I481" s="64" t="n"/>
      <c r="L481" s="9" t="n"/>
      <c r="M481" s="9" t="n"/>
      <c r="N481" s="9" t="n"/>
      <c r="O481" s="9" t="n"/>
      <c r="P481" s="9" t="n"/>
      <c r="Q481" s="9" t="n"/>
    </row>
    <row r="482" ht="15" customFormat="1" customHeight="1" s="8">
      <c r="A482" s="66" t="inlineStr">
        <is>
          <t>location</t>
        </is>
      </c>
      <c r="B482" s="89" t="inlineStr">
        <is>
          <t>RER</t>
        </is>
      </c>
      <c r="C482" s="64" t="n"/>
      <c r="D482" s="64" t="n"/>
      <c r="E482" s="64" t="n"/>
      <c r="F482" s="64" t="n"/>
      <c r="G482" s="64" t="n"/>
      <c r="H482" s="64" t="n"/>
      <c r="I482" s="64" t="n"/>
      <c r="L482" s="9" t="n"/>
      <c r="M482" s="9" t="n"/>
      <c r="N482" s="9" t="n"/>
      <c r="O482" s="9" t="n"/>
      <c r="P482" s="9" t="n"/>
      <c r="Q482" s="9" t="n"/>
    </row>
    <row r="483" ht="15" customFormat="1" customHeight="1" s="8">
      <c r="A483" s="66" t="inlineStr">
        <is>
          <t>unit</t>
        </is>
      </c>
      <c r="B483" s="70" t="inlineStr">
        <is>
          <t>unit</t>
        </is>
      </c>
      <c r="C483" s="64" t="n"/>
      <c r="D483" s="64" t="n"/>
      <c r="E483" s="64" t="n"/>
      <c r="F483" s="64" t="n"/>
      <c r="G483" s="64" t="n"/>
      <c r="H483" s="64" t="n"/>
      <c r="I483" s="64" t="n"/>
      <c r="L483" s="9" t="n"/>
      <c r="M483" s="9" t="n"/>
      <c r="N483" s="9" t="n"/>
      <c r="O483" s="9" t="n"/>
      <c r="P483" s="9" t="n"/>
      <c r="Q483" s="9" t="n"/>
    </row>
    <row r="484" ht="15.6" customFormat="1" customHeight="1" s="8">
      <c r="A484" s="68" t="inlineStr">
        <is>
          <t>Exchanges</t>
        </is>
      </c>
      <c r="B484" s="88" t="n"/>
      <c r="C484" s="68" t="n"/>
      <c r="D484" s="68" t="n"/>
      <c r="E484" s="68" t="n"/>
      <c r="F484" s="68" t="n"/>
      <c r="G484" s="68" t="n"/>
      <c r="H484" s="68" t="n"/>
      <c r="I484" s="68" t="n"/>
      <c r="J484" s="10" t="n"/>
      <c r="K484" s="10" t="n"/>
      <c r="L484" s="9" t="n"/>
      <c r="M484" s="9" t="n"/>
      <c r="N484" s="9" t="n"/>
      <c r="O484" s="9" t="n"/>
      <c r="P484" s="9" t="n"/>
      <c r="Q484" s="9" t="n"/>
    </row>
    <row r="485" ht="15.6" customFormat="1" customHeight="1" s="8">
      <c r="A485" s="68" t="inlineStr">
        <is>
          <t>name</t>
        </is>
      </c>
      <c r="B485" s="88" t="inlineStr">
        <is>
          <t>amount</t>
        </is>
      </c>
      <c r="C485" s="68" t="inlineStr">
        <is>
          <t>reference product</t>
        </is>
      </c>
      <c r="D485" s="68" t="inlineStr">
        <is>
          <t>location</t>
        </is>
      </c>
      <c r="E485" s="68" t="inlineStr">
        <is>
          <t>unit</t>
        </is>
      </c>
      <c r="F485" s="69" t="inlineStr">
        <is>
          <t>categories</t>
        </is>
      </c>
      <c r="G485" s="68" t="inlineStr">
        <is>
          <t>type</t>
        </is>
      </c>
      <c r="H485" s="67" t="inlineStr">
        <is>
          <t>database</t>
        </is>
      </c>
      <c r="I485" s="69" t="inlineStr">
        <is>
          <t>comment</t>
        </is>
      </c>
      <c r="J485" s="10" t="n"/>
      <c r="K485" s="6" t="n"/>
      <c r="L485" s="11" t="n"/>
      <c r="M485" s="11" t="n"/>
      <c r="N485" s="11" t="n"/>
      <c r="O485" s="11" t="n"/>
      <c r="P485" s="11" t="n"/>
      <c r="Q485" s="11" t="n"/>
      <c r="R485" s="6" t="n"/>
      <c r="S485" s="6" t="n"/>
      <c r="T485" s="10" t="n"/>
      <c r="U485" s="6" t="n"/>
    </row>
    <row r="486" ht="15" customFormat="1" customHeight="1" s="8">
      <c r="A486" s="67" t="inlineStr">
        <is>
          <t>treatment of fuel cell balance of plant, 1MWe, SOEC</t>
        </is>
      </c>
      <c r="B486" s="70" t="n">
        <v>-1</v>
      </c>
      <c r="C486" s="64" t="inlineStr">
        <is>
          <t>used fuel cell balance of plant, 1MWe, SOEC</t>
        </is>
      </c>
      <c r="D486" s="64" t="inlineStr">
        <is>
          <t>RER</t>
        </is>
      </c>
      <c r="E486" s="64" t="inlineStr">
        <is>
          <t>unit</t>
        </is>
      </c>
      <c r="F486" s="64" t="n"/>
      <c r="G486" s="64" t="inlineStr">
        <is>
          <t>production</t>
        </is>
      </c>
      <c r="H486" s="67" t="inlineStr">
        <is>
          <t>h2_electrolysis</t>
        </is>
      </c>
      <c r="I486" s="64" t="n"/>
      <c r="L486" s="9" t="n"/>
      <c r="M486" s="9" t="n"/>
      <c r="N486" s="9" t="n"/>
      <c r="O486" s="9" t="n"/>
      <c r="P486" s="9" t="n"/>
      <c r="Q486" s="9" t="n"/>
    </row>
    <row r="487" ht="15.6" customFormat="1" customHeight="1" s="8">
      <c r="A487" s="67" t="inlineStr">
        <is>
          <t>Iron scrap, at plant</t>
        </is>
      </c>
      <c r="B487" s="70" t="n">
        <v>-20421</v>
      </c>
      <c r="C487" s="64" t="inlineStr">
        <is>
          <t>Iron scrap, at plant</t>
        </is>
      </c>
      <c r="D487" s="64" t="inlineStr">
        <is>
          <t>RER</t>
        </is>
      </c>
      <c r="E487" s="64" t="inlineStr">
        <is>
          <t>kilogram</t>
        </is>
      </c>
      <c r="F487" s="64" t="n"/>
      <c r="G487" s="64" t="inlineStr">
        <is>
          <t>technosphere</t>
        </is>
      </c>
      <c r="H487" s="64" t="inlineStr">
        <is>
          <t>bafu</t>
        </is>
      </c>
      <c r="I487" s="64" t="n"/>
      <c r="L487" s="12" t="n"/>
      <c r="M487" s="12" t="n"/>
      <c r="N487" s="12" t="n"/>
      <c r="O487" s="12" t="n"/>
      <c r="P487" s="12" t="n"/>
      <c r="Q487" s="12" t="n"/>
    </row>
    <row r="488" ht="15.6" customFormat="1" customHeight="1" s="8">
      <c r="A488" s="67" t="inlineStr">
        <is>
          <t>Disposal, building, reinforcement steel, to sorting plant</t>
        </is>
      </c>
      <c r="B488" s="70" t="n">
        <v>-13730</v>
      </c>
      <c r="C488" s="67" t="inlineStr">
        <is>
          <t>Disposal, building, reinforcement steel, to sorting plant</t>
        </is>
      </c>
      <c r="D488" s="64" t="inlineStr">
        <is>
          <t>CH</t>
        </is>
      </c>
      <c r="E488" s="64" t="inlineStr">
        <is>
          <t>kilogram</t>
        </is>
      </c>
      <c r="F488" s="64" t="n"/>
      <c r="G488" s="64" t="inlineStr">
        <is>
          <t>technosphere</t>
        </is>
      </c>
      <c r="H488" s="64" t="inlineStr">
        <is>
          <t>bafu</t>
        </is>
      </c>
      <c r="I488" s="64" t="n"/>
      <c r="L488" s="12" t="n"/>
      <c r="M488" s="12" t="n"/>
      <c r="N488" s="12" t="n"/>
      <c r="O488" s="12" t="n"/>
      <c r="P488" s="12" t="n"/>
      <c r="Q488" s="12" t="n"/>
    </row>
    <row r="489" ht="15.6" customFormat="1" customHeight="1" s="8">
      <c r="A489" s="64" t="inlineStr">
        <is>
          <t>Aluminium scrap, old, at plant</t>
        </is>
      </c>
      <c r="B489" s="70" t="n">
        <v>-401</v>
      </c>
      <c r="C489" s="64" t="inlineStr">
        <is>
          <t>Aluminium scrap, old, at plant</t>
        </is>
      </c>
      <c r="D489" s="64" t="inlineStr">
        <is>
          <t>RER</t>
        </is>
      </c>
      <c r="E489" s="64" t="inlineStr">
        <is>
          <t>kilogram</t>
        </is>
      </c>
      <c r="F489" s="64" t="n"/>
      <c r="G489" s="64" t="inlineStr">
        <is>
          <t>technosphere</t>
        </is>
      </c>
      <c r="H489" s="64" t="inlineStr">
        <is>
          <t>bafu</t>
        </is>
      </c>
      <c r="I489" s="64" t="n"/>
      <c r="L489" s="12" t="n"/>
      <c r="M489" s="12" t="n"/>
      <c r="N489" s="12" t="n"/>
      <c r="O489" s="12" t="n"/>
      <c r="P489" s="12" t="n"/>
      <c r="Q489" s="12" t="n"/>
    </row>
    <row r="490" ht="15.6" customFormat="1" customHeight="1" s="8">
      <c r="A490" s="64" t="inlineStr">
        <is>
          <t>Disposal, plastic, industr. electronics, 15.3% water, to municipal incineration</t>
        </is>
      </c>
      <c r="B490" s="70" t="n">
        <v>-32</v>
      </c>
      <c r="C490" s="64" t="inlineStr">
        <is>
          <t>Disposal, plastic, industr. electronics, 15.3% water, to municipal incineration</t>
        </is>
      </c>
      <c r="D490" s="64" t="inlineStr">
        <is>
          <t>CH</t>
        </is>
      </c>
      <c r="E490" s="64" t="inlineStr">
        <is>
          <t>kilogram</t>
        </is>
      </c>
      <c r="F490" s="64" t="n"/>
      <c r="G490" s="64" t="inlineStr">
        <is>
          <t>technosphere</t>
        </is>
      </c>
      <c r="H490" s="64" t="inlineStr">
        <is>
          <t>bafu</t>
        </is>
      </c>
      <c r="I490" s="64" t="n"/>
      <c r="L490" s="12" t="n"/>
      <c r="M490" s="12" t="n"/>
      <c r="N490" s="12" t="n"/>
      <c r="O490" s="12" t="n"/>
      <c r="P490" s="12" t="n"/>
      <c r="Q490" s="12" t="n"/>
    </row>
    <row r="491" ht="15.6" customFormat="1" customHeight="1" s="8">
      <c r="A491" s="64" t="inlineStr">
        <is>
          <t>Disposal, treatment of printed wiring boards</t>
        </is>
      </c>
      <c r="B491" s="70" t="n">
        <v>-14</v>
      </c>
      <c r="C491" s="64" t="inlineStr">
        <is>
          <t>Disposal, treatment of printed wiring boards</t>
        </is>
      </c>
      <c r="D491" s="64" t="inlineStr">
        <is>
          <t>GLO</t>
        </is>
      </c>
      <c r="E491" s="64" t="inlineStr">
        <is>
          <t>kilogram</t>
        </is>
      </c>
      <c r="F491" s="64" t="n"/>
      <c r="G491" s="64" t="inlineStr">
        <is>
          <t>technosphere</t>
        </is>
      </c>
      <c r="H491" s="64" t="inlineStr">
        <is>
          <t>bafu</t>
        </is>
      </c>
      <c r="I491" s="64" t="n"/>
      <c r="L491" s="12" t="n"/>
      <c r="M491" s="12" t="n"/>
      <c r="N491" s="12" t="n"/>
      <c r="O491" s="12" t="n"/>
      <c r="P491" s="12" t="n"/>
      <c r="Q491" s="12" t="n"/>
    </row>
    <row r="492" ht="15.6" customFormat="1" customHeight="1" s="8">
      <c r="A492" s="64" t="inlineStr">
        <is>
          <t>Disposal, treatment of cables</t>
        </is>
      </c>
      <c r="B492" s="70" t="n">
        <v>-8</v>
      </c>
      <c r="C492" s="64" t="inlineStr">
        <is>
          <t>Disposal, treatment of cables</t>
        </is>
      </c>
      <c r="D492" s="64" t="inlineStr">
        <is>
          <t>GLO</t>
        </is>
      </c>
      <c r="E492" s="64" t="inlineStr">
        <is>
          <t>kilogram</t>
        </is>
      </c>
      <c r="F492" s="64" t="n"/>
      <c r="G492" s="64" t="inlineStr">
        <is>
          <t>technosphere</t>
        </is>
      </c>
      <c r="H492" s="64" t="inlineStr">
        <is>
          <t>bafu</t>
        </is>
      </c>
      <c r="I492" s="64" t="n"/>
      <c r="L492" s="12" t="n"/>
      <c r="M492" s="12" t="n"/>
      <c r="N492" s="12" t="n"/>
      <c r="O492" s="12" t="n"/>
      <c r="P492" s="12" t="n"/>
      <c r="Q492" s="12" t="n"/>
    </row>
    <row r="493" ht="15.6" customFormat="1" customHeight="1" s="8">
      <c r="A493" s="64" t="inlineStr">
        <is>
          <t>Disposal, polyethylene/polypropylene products, to municipal waste incineration</t>
        </is>
      </c>
      <c r="B493" s="70" t="n">
        <v>-534</v>
      </c>
      <c r="C493" s="64" t="inlineStr">
        <is>
          <t>Disposal, polyethylene/polypropylene products, to municipal waste incineration</t>
        </is>
      </c>
      <c r="D493" s="64" t="inlineStr">
        <is>
          <t>CH</t>
        </is>
      </c>
      <c r="E493" s="64" t="inlineStr">
        <is>
          <t>kilogram</t>
        </is>
      </c>
      <c r="F493" s="64" t="n"/>
      <c r="G493" s="64" t="inlineStr">
        <is>
          <t>technosphere</t>
        </is>
      </c>
      <c r="H493" s="64" t="inlineStr">
        <is>
          <t>bafu</t>
        </is>
      </c>
      <c r="I493" s="64" t="n"/>
      <c r="L493" s="12" t="n"/>
      <c r="M493" s="12" t="n"/>
      <c r="N493" s="12" t="n"/>
      <c r="O493" s="12" t="n"/>
      <c r="P493" s="12" t="n"/>
      <c r="Q493" s="12" t="n"/>
    </row>
    <row r="494" ht="15.6" customFormat="1" customHeight="1" s="8">
      <c r="A494" s="64" t="inlineStr">
        <is>
          <t>Disposal, building, bulk iron (excluding reinforcement), to sorting plant</t>
        </is>
      </c>
      <c r="B494" s="70" t="n">
        <v>-3000</v>
      </c>
      <c r="C494" s="64" t="inlineStr">
        <is>
          <t>Disposal, building, bulk iron (excluding reinforcement), to sorting plant</t>
        </is>
      </c>
      <c r="D494" s="64" t="inlineStr">
        <is>
          <t>CH</t>
        </is>
      </c>
      <c r="E494" s="64" t="inlineStr">
        <is>
          <t>kilogram</t>
        </is>
      </c>
      <c r="F494" s="64" t="n"/>
      <c r="G494" s="64" t="inlineStr">
        <is>
          <t>technosphere</t>
        </is>
      </c>
      <c r="H494" s="64" t="inlineStr">
        <is>
          <t>bafu</t>
        </is>
      </c>
      <c r="I494" s="64" t="n"/>
      <c r="L494" s="12" t="n"/>
      <c r="M494" s="12" t="n"/>
      <c r="N494" s="12" t="n"/>
      <c r="O494" s="12" t="n"/>
      <c r="P494" s="12" t="n"/>
      <c r="Q494" s="12" t="n"/>
    </row>
    <row r="495" ht="15.6" customFormat="1" customHeight="1" s="8">
      <c r="A495" s="64" t="inlineStr">
        <is>
          <t>Copper, at regional storage</t>
        </is>
      </c>
      <c r="B495" s="70" t="n">
        <v>-429</v>
      </c>
      <c r="C495" s="64" t="inlineStr">
        <is>
          <t>Copper, at regional storage</t>
        </is>
      </c>
      <c r="D495" s="64" t="inlineStr">
        <is>
          <t>RER</t>
        </is>
      </c>
      <c r="E495" s="64" t="inlineStr">
        <is>
          <t>kilogram</t>
        </is>
      </c>
      <c r="F495" s="64" t="n"/>
      <c r="G495" s="64" t="inlineStr">
        <is>
          <t>technosphere</t>
        </is>
      </c>
      <c r="H495" s="64" t="inlineStr">
        <is>
          <t>bafu</t>
        </is>
      </c>
      <c r="I495" s="64" t="n"/>
      <c r="L495" s="12" t="n"/>
      <c r="M495" s="12" t="n"/>
      <c r="N495" s="12" t="n"/>
      <c r="O495" s="12" t="n"/>
      <c r="P495" s="12" t="n"/>
      <c r="Q495" s="12" t="n"/>
    </row>
    <row r="496" ht="15.6" customFormat="1" customHeight="1" s="8">
      <c r="A496" s="64" t="inlineStr">
        <is>
          <t>Disposal, plastics, mixture, 15.3% water, to municipal incineration</t>
        </is>
      </c>
      <c r="B496" s="70" t="n">
        <v>-210</v>
      </c>
      <c r="C496" s="64" t="inlineStr">
        <is>
          <t>Disposal, plastics, mixture, 15.3% water, to municipal incineration</t>
        </is>
      </c>
      <c r="D496" s="64" t="inlineStr">
        <is>
          <t>CH</t>
        </is>
      </c>
      <c r="E496" s="64" t="inlineStr">
        <is>
          <t>kilogram</t>
        </is>
      </c>
      <c r="F496" s="64" t="n"/>
      <c r="G496" s="64" t="inlineStr">
        <is>
          <t>technosphere</t>
        </is>
      </c>
      <c r="H496" s="64" t="inlineStr">
        <is>
          <t>bafu</t>
        </is>
      </c>
      <c r="I496" s="64" t="n"/>
      <c r="L496" s="12" t="n"/>
      <c r="M496" s="12" t="n"/>
      <c r="N496" s="12" t="n"/>
      <c r="O496" s="12" t="n"/>
      <c r="P496" s="12" t="n"/>
      <c r="Q496" s="12" t="n"/>
    </row>
    <row r="497" ht="15.6" customFormat="1" customHeight="1" s="8">
      <c r="A497" s="64" t="inlineStr">
        <is>
          <t>Disposal, building, concrete, not reinforced, to sorting plant</t>
        </is>
      </c>
      <c r="B497" s="70" t="n">
        <v>-5600</v>
      </c>
      <c r="C497" s="64" t="inlineStr">
        <is>
          <t>Disposal, building, concrete, not reinforced, to sorting plant</t>
        </is>
      </c>
      <c r="D497" s="64" t="inlineStr">
        <is>
          <t>CH</t>
        </is>
      </c>
      <c r="E497" s="64" t="inlineStr">
        <is>
          <t>kilogram</t>
        </is>
      </c>
      <c r="F497" s="64" t="n"/>
      <c r="G497" s="64" t="inlineStr">
        <is>
          <t>technosphere</t>
        </is>
      </c>
      <c r="H497" s="64" t="inlineStr">
        <is>
          <t>bafu</t>
        </is>
      </c>
      <c r="I497" s="64" t="n"/>
      <c r="L497" s="12" t="n"/>
      <c r="M497" s="12" t="n"/>
      <c r="N497" s="12" t="n"/>
      <c r="O497" s="12" t="n"/>
      <c r="P497" s="12" t="n"/>
      <c r="Q497" s="12" t="n"/>
    </row>
    <row r="498" ht="15" customFormat="1" customHeight="1" s="8">
      <c r="B498" s="9" t="n"/>
      <c r="L498" s="9" t="n"/>
      <c r="M498" s="9" t="n"/>
      <c r="N498" s="9" t="n"/>
      <c r="O498" s="9" t="n"/>
      <c r="P498" s="9" t="n"/>
      <c r="Q498" s="9" t="n"/>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B10" sqref="B10"/>
    </sheetView>
  </sheetViews>
  <sheetFormatPr baseColWidth="8" defaultColWidth="11.44140625" defaultRowHeight="14.4"/>
  <cols>
    <col width="23.88671875" bestFit="1" customWidth="1" min="1" max="1"/>
    <col width="9.109375" bestFit="1" customWidth="1" min="2" max="3"/>
    <col width="7.109375" bestFit="1" customWidth="1" min="4" max="4"/>
    <col width="13" customWidth="1" min="5" max="5"/>
    <col width="18.33203125" customWidth="1" min="6" max="6"/>
  </cols>
  <sheetData>
    <row r="1">
      <c r="A1" t="inlineStr">
        <is>
          <t>skip</t>
        </is>
      </c>
    </row>
    <row r="2" ht="15" customHeight="1" thickBot="1"/>
    <row r="3" ht="27" customHeight="1" thickBot="1">
      <c r="A3" s="21" t="n"/>
      <c r="B3" s="22" t="inlineStr">
        <is>
          <t>AEC</t>
        </is>
      </c>
      <c r="C3" s="22" t="inlineStr">
        <is>
          <t>PEMC</t>
        </is>
      </c>
      <c r="D3" s="22" t="inlineStr">
        <is>
          <t>SOEC</t>
        </is>
      </c>
      <c r="E3" s="23" t="inlineStr">
        <is>
          <t>SOEC + steam</t>
        </is>
      </c>
      <c r="F3" s="22" t="inlineStr">
        <is>
          <t>Source</t>
        </is>
      </c>
    </row>
    <row r="4" ht="15.6" customHeight="1" thickBot="1" thickTop="1">
      <c r="A4" s="27" t="inlineStr">
        <is>
          <t>Stack lifetime [hours]</t>
        </is>
      </c>
      <c r="B4" s="25" t="inlineStr">
        <is>
          <t xml:space="preserve">55’000 </t>
        </is>
      </c>
      <c r="C4" s="24" t="inlineStr">
        <is>
          <t>45’000</t>
        </is>
      </c>
      <c r="D4" s="105" t="inlineStr">
        <is>
          <t>20’000</t>
        </is>
      </c>
      <c r="E4" s="106" t="n"/>
      <c r="F4" s="25" t="inlineStr">
        <is>
          <t>IndWEDe</t>
        </is>
      </c>
    </row>
    <row r="5" ht="66.59999999999999" customHeight="1" thickBot="1">
      <c r="A5" s="32" t="inlineStr">
        <is>
          <t>Stack lifetime [years]</t>
        </is>
      </c>
      <c r="B5" s="25" t="n">
        <v>7</v>
      </c>
      <c r="C5" s="24" t="n">
        <v>5.5</v>
      </c>
      <c r="D5" s="107" t="n">
        <v>2.5</v>
      </c>
      <c r="E5" s="108" t="n"/>
      <c r="F5" s="24" t="inlineStr">
        <is>
          <t>IndWEDe, based on the lower estimate of 8,000 hours per year, from manufacturers’ data.</t>
        </is>
      </c>
    </row>
    <row r="6" ht="27" customHeight="1" thickBot="1">
      <c r="A6" s="32" t="inlineStr">
        <is>
          <t>Balance of Plant lifetime [years]</t>
        </is>
      </c>
      <c r="B6" s="109" t="inlineStr">
        <is>
          <t>Same as system.</t>
        </is>
      </c>
      <c r="C6" s="110" t="n"/>
      <c r="D6" s="110" t="n"/>
      <c r="E6" s="108" t="n"/>
      <c r="F6" s="26" t="inlineStr">
        <is>
          <t>From row below.</t>
        </is>
      </c>
    </row>
    <row r="7" ht="15" customHeight="1" thickBot="1">
      <c r="A7" s="32" t="inlineStr">
        <is>
          <t>System lifetime [years]</t>
        </is>
      </c>
      <c r="B7" s="25" t="n">
        <v>27.5</v>
      </c>
      <c r="C7" s="24" t="n">
        <v>20</v>
      </c>
      <c r="D7" s="107" t="n">
        <v>20</v>
      </c>
      <c r="E7" s="108" t="n"/>
      <c r="F7" s="24" t="inlineStr">
        <is>
          <t>IndWEDe</t>
        </is>
      </c>
    </row>
    <row r="8" ht="40.2" customHeight="1" thickBot="1">
      <c r="A8" s="32" t="inlineStr">
        <is>
          <t>Stack replacement over system’s lifetime, excluding initial unit [unit]</t>
        </is>
      </c>
      <c r="B8" s="25" t="n">
        <v>3</v>
      </c>
      <c r="C8" s="24" t="n">
        <v>3</v>
      </c>
      <c r="D8" s="107" t="n">
        <v>7</v>
      </c>
      <c r="E8" s="108" t="n"/>
      <c r="F8" s="24" t="inlineStr">
        <is>
          <t>Calculated.</t>
        </is>
      </c>
    </row>
    <row r="9" ht="29.4" customHeight="1" thickBot="1">
      <c r="A9" s="32" t="inlineStr">
        <is>
          <t>Water demand [kg water/kg H2]</t>
        </is>
      </c>
      <c r="B9" s="109" t="inlineStr">
        <is>
          <t>8.9, corrected to 14 to represent “real world” operation.</t>
        </is>
      </c>
      <c r="C9" s="110" t="n"/>
      <c r="D9" s="110" t="n"/>
      <c r="E9" s="108" t="n"/>
      <c r="F9" s="26" t="inlineStr">
        <is>
          <t>(Simoes et al. 2021)</t>
        </is>
      </c>
    </row>
    <row r="10" ht="66.59999999999999" customHeight="1" thickBot="1">
      <c r="A10" s="32" t="inlineStr">
        <is>
          <t>Electricity demand [kWh/kg H2]</t>
        </is>
      </c>
      <c r="B10" s="25" t="n">
        <v>51.8</v>
      </c>
      <c r="C10" s="25" t="n">
        <v>54</v>
      </c>
      <c r="D10" s="25" t="n">
        <v>42.3</v>
      </c>
      <c r="E10" s="26" t="n">
        <v>39</v>
      </c>
      <c r="F10" s="24" t="inlineStr">
        <is>
          <t>IndWEDe for all cases, except SOEC + steam, which is based on manufacturers’ data.</t>
        </is>
      </c>
    </row>
    <row r="11" ht="29.4" customHeight="1" thickBot="1">
      <c r="A11" s="32" t="inlineStr">
        <is>
          <t>Electrical Efficiency [%, based on H2 LHV]</t>
        </is>
      </c>
      <c r="B11" s="28" t="n">
        <v>0.645</v>
      </c>
      <c r="C11" s="28" t="n">
        <v>0.617</v>
      </c>
      <c r="D11" s="28" t="n">
        <v>0.787</v>
      </c>
      <c r="E11" s="29" t="n">
        <v>0.85</v>
      </c>
      <c r="F11" s="24" t="inlineStr">
        <is>
          <t>From row above.</t>
        </is>
      </c>
    </row>
    <row r="12" ht="40.2" customHeight="1" thickBot="1">
      <c r="A12" s="32" t="inlineStr">
        <is>
          <t>Steam demand [kWh/kg H2]</t>
        </is>
      </c>
      <c r="B12" s="25" t="n"/>
      <c r="C12" s="30" t="n"/>
      <c r="D12" s="25" t="n"/>
      <c r="E12" s="26" t="n">
        <v>16</v>
      </c>
      <c r="F12" s="24" t="inlineStr">
        <is>
          <t>Manufacturers’ data, also matching with (Gerloff 2021a).</t>
        </is>
      </c>
    </row>
    <row r="13" ht="16.2" customHeight="1" thickBot="1">
      <c r="A13" s="32" t="inlineStr">
        <is>
          <t>Productivity [kg H2/hour]</t>
        </is>
      </c>
      <c r="B13" s="25" t="n">
        <v>19.36</v>
      </c>
      <c r="C13" s="30" t="n">
        <v>18.52</v>
      </c>
      <c r="D13" s="109" t="n">
        <v>23.6</v>
      </c>
      <c r="E13" s="108" t="n"/>
      <c r="F13" s="24" t="inlineStr">
        <is>
          <t>From row above.</t>
        </is>
      </c>
    </row>
    <row r="14" ht="16.2" customHeight="1" thickBot="1">
      <c r="A14" s="32" t="inlineStr">
        <is>
          <t>KOH [kg/kg H2]</t>
        </is>
      </c>
      <c r="B14" s="25" t="n">
        <v>0.0037</v>
      </c>
      <c r="C14" s="31" t="n"/>
      <c r="D14" s="111" t="n"/>
      <c r="E14" s="108" t="n"/>
      <c r="F14" s="26" t="inlineStr">
        <is>
          <t>(Gerloff 2021a)</t>
        </is>
      </c>
    </row>
    <row r="15" ht="27" customHeight="1" thickBot="1">
      <c r="A15" s="32" t="inlineStr">
        <is>
          <t>Operating temperature [°C]</t>
        </is>
      </c>
      <c r="B15" s="25" t="inlineStr">
        <is>
          <t>60-80</t>
        </is>
      </c>
      <c r="C15" s="25" t="inlineStr">
        <is>
          <t>50-80</t>
        </is>
      </c>
      <c r="D15" s="109" t="inlineStr">
        <is>
          <t>650-1000</t>
        </is>
      </c>
      <c r="E15" s="108" t="n"/>
      <c r="F15" s="24" t="inlineStr">
        <is>
          <t>Manufacturers’ data.</t>
        </is>
      </c>
    </row>
    <row r="16" ht="15" customHeight="1" thickBot="1">
      <c r="A16" s="32" t="inlineStr">
        <is>
          <t>Operating pressure [bar]</t>
        </is>
      </c>
      <c r="B16" s="25" t="inlineStr">
        <is>
          <t>~20</t>
        </is>
      </c>
      <c r="C16" s="25" t="inlineStr">
        <is>
          <t>~30</t>
        </is>
      </c>
      <c r="D16" s="109" t="inlineStr">
        <is>
          <t>~1</t>
        </is>
      </c>
      <c r="E16" s="108" t="n"/>
      <c r="F16" s="24" t="inlineStr">
        <is>
          <t>IndWEDe</t>
        </is>
      </c>
    </row>
    <row r="17" ht="106.2" customHeight="1" thickBot="1">
      <c r="A17" s="32" t="inlineStr">
        <is>
          <t>Produced amount over system’s lifetime years [kg H2]</t>
        </is>
      </c>
      <c r="B17" s="25" t="n">
        <v>4259200</v>
      </c>
      <c r="C17" s="25" t="n">
        <v>2963200</v>
      </c>
      <c r="D17" s="112" t="n">
        <v>3776000</v>
      </c>
      <c r="E17" s="108" t="n"/>
      <c r="F17" s="26" t="inlineStr">
        <is>
          <t>Calculated based on the system’s lifetime (fourth row), and 8,000 hours stack operation per year (from manufacturers’ data) and hourly productivity.</t>
        </is>
      </c>
    </row>
  </sheetData>
  <mergeCells count="11">
    <mergeCell ref="D8:E8"/>
    <mergeCell ref="D16:E16"/>
    <mergeCell ref="B9:E9"/>
    <mergeCell ref="D7:E7"/>
    <mergeCell ref="D15:E15"/>
    <mergeCell ref="D13:E13"/>
    <mergeCell ref="B6:E6"/>
    <mergeCell ref="D5:E5"/>
    <mergeCell ref="D14:E14"/>
    <mergeCell ref="D4:E4"/>
    <mergeCell ref="D17:E17"/>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G104"/>
  <sheetViews>
    <sheetView zoomScaleNormal="100" workbookViewId="0">
      <selection activeCell="A1" sqref="A1"/>
    </sheetView>
  </sheetViews>
  <sheetFormatPr baseColWidth="8" defaultColWidth="11.44140625" defaultRowHeight="14.4"/>
  <cols>
    <col width="32.44140625" bestFit="1" customWidth="1" min="1" max="1"/>
    <col width="29.44140625" bestFit="1" customWidth="1" min="2" max="2"/>
    <col width="11" bestFit="1" customWidth="1" min="3" max="3"/>
    <col width="12.33203125" customWidth="1" min="4" max="4"/>
    <col width="8" customWidth="1" min="5" max="5"/>
    <col width="13" customWidth="1" min="6" max="6"/>
    <col width="12.33203125" customWidth="1" min="7" max="7"/>
    <col width="10" bestFit="1" customWidth="1" min="8" max="8"/>
    <col width="13.33203125" customWidth="1" min="9" max="9"/>
    <col width="9" bestFit="1" customWidth="1" min="10" max="10"/>
    <col width="9.44140625" bestFit="1" customWidth="1" min="11" max="11"/>
    <col width="13.88671875" customWidth="1" min="12" max="12"/>
    <col width="13" customWidth="1" min="13" max="13"/>
    <col width="13.88671875" customWidth="1" min="14" max="15"/>
    <col width="15" customWidth="1" min="16" max="16"/>
    <col width="10" bestFit="1" customWidth="1" min="17" max="17"/>
    <col width="10.6640625" bestFit="1" customWidth="1" min="18" max="18"/>
    <col width="9.109375" bestFit="1" customWidth="1" min="20" max="21"/>
    <col width="14.6640625" customWidth="1" min="22" max="22"/>
    <col width="13.88671875" customWidth="1" min="23" max="23"/>
    <col width="14" customWidth="1" min="24" max="24"/>
    <col width="12.6640625" customWidth="1" min="25" max="25"/>
    <col width="9.6640625" bestFit="1" customWidth="1" min="27" max="28"/>
    <col width="9.44140625" bestFit="1" customWidth="1" min="31" max="31"/>
    <col width="9.6640625" bestFit="1" customWidth="1" min="32" max="33"/>
  </cols>
  <sheetData>
    <row r="1">
      <c r="A1" t="inlineStr">
        <is>
          <t>skip</t>
        </is>
      </c>
    </row>
    <row r="3" ht="78" customHeight="1">
      <c r="A3" s="16" t="inlineStr">
        <is>
          <t>Manufacturer</t>
        </is>
      </c>
      <c r="B3" s="16" t="inlineStr">
        <is>
          <t>Model</t>
        </is>
      </c>
      <c r="C3" s="16" t="inlineStr">
        <is>
          <t>Electrolysis type</t>
        </is>
      </c>
      <c r="D3" s="16" t="inlineStr">
        <is>
          <t>Minimum power consumption [kW]</t>
        </is>
      </c>
      <c r="E3" s="16" t="inlineStr">
        <is>
          <t>Rated power [kW]</t>
        </is>
      </c>
      <c r="F3" s="16" t="inlineStr">
        <is>
          <t>Maximum power consumption [kW]</t>
        </is>
      </c>
      <c r="G3" s="16" t="inlineStr">
        <is>
          <t>Voltage consumption [V]</t>
        </is>
      </c>
      <c r="H3" s="16" t="inlineStr">
        <is>
          <t>Type of current [V]</t>
        </is>
      </c>
      <c r="I3" s="16" t="inlineStr">
        <is>
          <t>Space requirement [m²/kW]</t>
        </is>
      </c>
      <c r="J3" s="16" t="inlineStr">
        <is>
          <t>Start-up dynamics [s]</t>
        </is>
      </c>
      <c r="K3" s="16" t="inlineStr">
        <is>
          <t>Water treatment [s]</t>
        </is>
      </c>
      <c r="L3" s="16" t="inlineStr">
        <is>
          <t>Max. system availability [hours/year]</t>
        </is>
      </c>
      <c r="M3" s="16" t="inlineStr">
        <is>
          <t>Min. ambient temperature [°C]</t>
        </is>
      </c>
      <c r="N3" s="16" t="inlineStr">
        <is>
          <t>Max. Ambient temperature [°C]</t>
        </is>
      </c>
      <c r="O3" s="16" t="inlineStr">
        <is>
          <t>Spec. electricity demand [kWh/Nm³H2]</t>
        </is>
      </c>
      <c r="P3" s="16" t="inlineStr">
        <is>
          <t>Spec. electricity demand [kWh/kgH2]</t>
        </is>
      </c>
      <c r="Q3" s="16" t="inlineStr">
        <is>
          <t>Spec. Heat demand [MJ/kgH2]</t>
        </is>
      </c>
      <c r="R3" s="16" t="inlineStr">
        <is>
          <t>Useful heat output [kW/kW]</t>
        </is>
      </c>
      <c r="S3" s="16" t="inlineStr">
        <is>
          <t>Temperature of useful heat [°C]</t>
        </is>
      </c>
      <c r="T3" s="16" t="inlineStr">
        <is>
          <t>Electrical efficiency [%, LHV]</t>
        </is>
      </c>
      <c r="U3" s="16" t="inlineStr">
        <is>
          <t>Total efficiency [%]</t>
        </is>
      </c>
      <c r="V3" s="16" t="inlineStr">
        <is>
          <t>Minimum stack temperature [°C]</t>
        </is>
      </c>
      <c r="W3" s="16" t="inlineStr">
        <is>
          <t>Maximum stack temperature [°C]</t>
        </is>
      </c>
      <c r="X3" s="16" t="inlineStr">
        <is>
          <t>Required water quality [µS/cm]</t>
        </is>
      </c>
      <c r="Y3" s="16" t="inlineStr">
        <is>
          <t>Stack life [h]</t>
        </is>
      </c>
      <c r="Z3" s="16" t="inlineStr">
        <is>
          <t>Maintenance interval [h]</t>
        </is>
      </c>
      <c r="AA3" s="16" t="inlineStr">
        <is>
          <t>H2 quality</t>
        </is>
      </c>
      <c r="AB3" s="16" t="inlineStr">
        <is>
          <t>H2 pressure level [bar]</t>
        </is>
      </c>
      <c r="AC3" s="16" t="inlineStr">
        <is>
          <t>H2 quantity [kg/h]</t>
        </is>
      </c>
      <c r="AD3" s="16" t="inlineStr">
        <is>
          <t>H2 quantity [Nm³/h]</t>
        </is>
      </c>
      <c r="AE3" s="16" t="inlineStr">
        <is>
          <t>Gas treatment</t>
        </is>
      </c>
      <c r="AF3" s="16" t="inlineStr">
        <is>
          <t>H2 quality after treatment</t>
        </is>
      </c>
      <c r="AG3" s="16" t="inlineStr">
        <is>
          <t>Maximum H2 pressure level [bar]</t>
        </is>
      </c>
    </row>
    <row r="4">
      <c r="A4" t="inlineStr">
        <is>
          <t>Hoeller Electrolyzer_x000D_GmbH</t>
        </is>
      </c>
      <c r="B4" t="inlineStr">
        <is>
          <t>Prometheus L_x000D_Stack</t>
        </is>
      </c>
      <c r="C4" t="inlineStr">
        <is>
          <t>PEM</t>
        </is>
      </c>
      <c r="D4" t="n">
        <v>300</v>
      </c>
      <c r="E4" t="n">
        <v>1500</v>
      </c>
      <c r="F4" t="n">
        <v>1800</v>
      </c>
      <c r="G4" t="n">
        <v>616</v>
      </c>
      <c r="H4" t="inlineStr">
        <is>
          <t>DC</t>
        </is>
      </c>
      <c r="I4" s="17" t="n"/>
      <c r="J4" t="n">
        <v>10</v>
      </c>
      <c r="K4" t="inlineStr">
        <is>
          <t>Yes</t>
        </is>
      </c>
      <c r="O4" t="n">
        <v>4.85</v>
      </c>
      <c r="P4" s="18">
        <f>((1000*O4)/0.08924)/1000</f>
        <v/>
      </c>
      <c r="Q4" s="18" t="n"/>
      <c r="R4" s="19" t="n"/>
      <c r="T4" t="n">
        <v>61.9</v>
      </c>
      <c r="V4" t="n">
        <v>5</v>
      </c>
      <c r="W4" t="n">
        <v>80</v>
      </c>
      <c r="X4" t="n">
        <v>0.1</v>
      </c>
      <c r="Y4" t="n">
        <v>80000</v>
      </c>
      <c r="AA4" t="n">
        <v>5.5</v>
      </c>
      <c r="AB4" t="n">
        <v>40</v>
      </c>
      <c r="AC4" t="n">
        <v>27.8</v>
      </c>
      <c r="AD4" t="n">
        <v>308.9</v>
      </c>
      <c r="AE4" t="inlineStr">
        <is>
          <t>Optional</t>
        </is>
      </c>
    </row>
    <row r="5">
      <c r="A5" t="inlineStr">
        <is>
          <t>HIAT gGmbH</t>
        </is>
      </c>
      <c r="B5" t="inlineStr">
        <is>
          <t>PURIFIER</t>
        </is>
      </c>
      <c r="C5" t="inlineStr">
        <is>
          <t>PEM</t>
        </is>
      </c>
      <c r="F5" t="n">
        <v>2</v>
      </c>
      <c r="I5" s="17" t="n"/>
      <c r="O5" t="n">
        <v>5</v>
      </c>
      <c r="P5" s="18">
        <f>((1000*O5)/0.08924)/1000</f>
        <v/>
      </c>
      <c r="Q5" s="18" t="n"/>
      <c r="R5" s="19" t="n"/>
      <c r="T5" t="n">
        <v>60</v>
      </c>
      <c r="V5" t="n">
        <v>20</v>
      </c>
      <c r="W5" t="n">
        <v>80</v>
      </c>
      <c r="X5" t="n">
        <v>0.1</v>
      </c>
      <c r="Y5" t="n">
        <v>40000</v>
      </c>
      <c r="AB5" t="n">
        <v>40</v>
      </c>
      <c r="AC5" t="n">
        <v>0.05</v>
      </c>
      <c r="AD5" t="n">
        <v>0.6</v>
      </c>
    </row>
    <row r="6">
      <c r="A6" t="inlineStr">
        <is>
          <t>Enapter</t>
        </is>
      </c>
      <c r="B6" t="inlineStr">
        <is>
          <t>EL 2.1</t>
        </is>
      </c>
      <c r="C6" t="inlineStr">
        <is>
          <t>AEC</t>
        </is>
      </c>
      <c r="F6" t="n">
        <v>2.4</v>
      </c>
      <c r="G6" t="n">
        <v>230</v>
      </c>
      <c r="H6" t="inlineStr">
        <is>
          <t>AC</t>
        </is>
      </c>
      <c r="I6" s="17" t="n">
        <v>0.125</v>
      </c>
      <c r="J6" t="n">
        <v>3</v>
      </c>
      <c r="K6" t="inlineStr">
        <is>
          <t>Optional</t>
        </is>
      </c>
      <c r="M6" t="n">
        <v>5</v>
      </c>
      <c r="N6" t="n">
        <v>45</v>
      </c>
      <c r="O6" t="n">
        <v>4.8</v>
      </c>
      <c r="P6" s="18">
        <f>((1000*O6)/0.08924)/1000</f>
        <v/>
      </c>
      <c r="Q6" s="18" t="n"/>
      <c r="R6" s="19" t="n"/>
      <c r="T6" t="n">
        <v>62.5</v>
      </c>
      <c r="V6" t="n">
        <v>20</v>
      </c>
      <c r="W6" t="n">
        <v>55</v>
      </c>
      <c r="X6" t="n">
        <v>20</v>
      </c>
      <c r="Y6" t="n">
        <v>30000</v>
      </c>
      <c r="AA6" t="n">
        <v>3</v>
      </c>
      <c r="AB6" t="n">
        <v>35</v>
      </c>
      <c r="AC6" t="n">
        <v>0.45</v>
      </c>
      <c r="AD6" t="n">
        <v>5</v>
      </c>
      <c r="AE6" t="inlineStr">
        <is>
          <t>Optional</t>
        </is>
      </c>
    </row>
    <row r="7">
      <c r="A7" t="inlineStr">
        <is>
          <t>McPhy Energy S.A.</t>
        </is>
      </c>
      <c r="B7" t="inlineStr">
        <is>
          <t>Piel Baby</t>
        </is>
      </c>
      <c r="C7" t="inlineStr">
        <is>
          <t>AEC</t>
        </is>
      </c>
      <c r="F7" t="n">
        <v>3</v>
      </c>
      <c r="I7" s="17" t="n"/>
      <c r="R7" s="19" t="n"/>
      <c r="AB7" t="n">
        <v>1</v>
      </c>
      <c r="AC7" t="n">
        <v>0.04</v>
      </c>
      <c r="AD7" t="n">
        <v>0.4</v>
      </c>
      <c r="AE7" t="inlineStr">
        <is>
          <t>Optional</t>
        </is>
      </c>
    </row>
    <row r="8">
      <c r="A8" t="inlineStr">
        <is>
          <t>ostermeier H2ydrogen_x000D_Solutions GmbH</t>
        </is>
      </c>
      <c r="B8" t="inlineStr">
        <is>
          <t>EO.05</t>
        </is>
      </c>
      <c r="C8" t="inlineStr">
        <is>
          <t>PEM</t>
        </is>
      </c>
      <c r="D8" t="n">
        <v>1</v>
      </c>
      <c r="E8" t="n">
        <v>6</v>
      </c>
      <c r="F8" t="n">
        <v>7</v>
      </c>
      <c r="G8" t="n">
        <v>400</v>
      </c>
      <c r="H8" t="inlineStr">
        <is>
          <t>AC</t>
        </is>
      </c>
      <c r="I8" s="17" t="n">
        <v>0.4285714285714285</v>
      </c>
      <c r="J8" t="n">
        <v>40</v>
      </c>
      <c r="K8" t="inlineStr">
        <is>
          <t>Yes</t>
        </is>
      </c>
      <c r="L8" t="n">
        <v>8500</v>
      </c>
      <c r="M8" t="n">
        <v>5</v>
      </c>
      <c r="N8" t="n">
        <v>35</v>
      </c>
      <c r="R8" s="19" t="n"/>
      <c r="V8" t="n">
        <v>20</v>
      </c>
      <c r="W8" t="n">
        <v>65</v>
      </c>
      <c r="X8" t="n">
        <v>0.1</v>
      </c>
      <c r="Y8" t="n">
        <v>35000</v>
      </c>
      <c r="AA8" t="n">
        <v>3</v>
      </c>
      <c r="AB8" t="n">
        <v>20</v>
      </c>
      <c r="AC8" t="n">
        <v>0.1</v>
      </c>
      <c r="AD8" t="n">
        <v>1.1</v>
      </c>
      <c r="AE8" t="inlineStr">
        <is>
          <t>Optional</t>
        </is>
      </c>
    </row>
    <row r="9">
      <c r="A9" t="inlineStr">
        <is>
          <t>McPhy Energy S.A.</t>
        </is>
      </c>
      <c r="B9" t="inlineStr">
        <is>
          <t>Piel P</t>
        </is>
      </c>
      <c r="C9" t="inlineStr">
        <is>
          <t>AEC</t>
        </is>
      </c>
      <c r="D9" t="n">
        <v>6</v>
      </c>
      <c r="F9" t="n">
        <v>9</v>
      </c>
      <c r="I9" s="17" t="n"/>
      <c r="R9" s="19" t="n"/>
      <c r="AB9" t="n">
        <v>2.5</v>
      </c>
      <c r="AC9" t="n">
        <v>0.14</v>
      </c>
      <c r="AD9" t="n">
        <v>1.6</v>
      </c>
      <c r="AE9" t="inlineStr">
        <is>
          <t>Optional</t>
        </is>
      </c>
    </row>
    <row r="10">
      <c r="A10" t="inlineStr">
        <is>
          <t>H2 Core Systems GmbH</t>
        </is>
      </c>
      <c r="B10" t="inlineStr">
        <is>
          <t>HydroCab_x000D_Indoor 2.0_x000D_Nm3/h</t>
        </is>
      </c>
      <c r="C10" t="inlineStr">
        <is>
          <t>AEC</t>
        </is>
      </c>
      <c r="D10" t="n">
        <v>1</v>
      </c>
      <c r="E10" t="n">
        <v>10</v>
      </c>
      <c r="F10" t="n">
        <v>10</v>
      </c>
      <c r="G10" t="n">
        <v>400</v>
      </c>
      <c r="H10" t="inlineStr">
        <is>
          <t>AC/_x000D_DC</t>
        </is>
      </c>
      <c r="I10" s="17" t="n">
        <v>0.1</v>
      </c>
      <c r="J10" t="n">
        <v>3</v>
      </c>
      <c r="K10" t="inlineStr">
        <is>
          <t>Optional</t>
        </is>
      </c>
      <c r="L10" t="n">
        <v>8700</v>
      </c>
      <c r="M10" t="n">
        <v>5</v>
      </c>
      <c r="N10" t="n">
        <v>40</v>
      </c>
      <c r="O10" t="n">
        <v>4.8</v>
      </c>
      <c r="P10" s="18">
        <f>((1000*O10)/0.08924)/1000</f>
        <v/>
      </c>
      <c r="Q10" s="18" t="n"/>
      <c r="R10" s="19" t="n">
        <v>0.2</v>
      </c>
      <c r="T10" t="n">
        <v>62.5</v>
      </c>
      <c r="U10" t="n">
        <v>92.5</v>
      </c>
      <c r="V10" t="n">
        <v>20</v>
      </c>
      <c r="W10" t="n">
        <v>55</v>
      </c>
      <c r="X10" t="n">
        <v>2</v>
      </c>
      <c r="Y10" t="n">
        <v>35000</v>
      </c>
      <c r="Z10" t="n">
        <v>8760</v>
      </c>
      <c r="AA10" t="n">
        <v>3</v>
      </c>
      <c r="AB10" t="n">
        <v>35</v>
      </c>
      <c r="AC10" t="n">
        <v>0.18</v>
      </c>
      <c r="AD10" t="n">
        <v>2</v>
      </c>
      <c r="AE10" t="inlineStr">
        <is>
          <t>Optional</t>
        </is>
      </c>
      <c r="AF10" t="n">
        <v>5</v>
      </c>
      <c r="AG10" t="n">
        <v>35</v>
      </c>
    </row>
    <row r="11">
      <c r="A11" t="inlineStr">
        <is>
          <t>H2 Core Systems GmbH</t>
        </is>
      </c>
      <c r="B11" t="inlineStr">
        <is>
          <t>HydroCab_x000D_Outdoor 2.0_x000D_Nm3/h</t>
        </is>
      </c>
      <c r="C11" t="inlineStr">
        <is>
          <t>AEC</t>
        </is>
      </c>
      <c r="D11" t="n">
        <v>1</v>
      </c>
      <c r="E11" t="n">
        <v>10</v>
      </c>
      <c r="F11" t="n">
        <v>10</v>
      </c>
      <c r="G11" t="n">
        <v>400</v>
      </c>
      <c r="H11" t="inlineStr">
        <is>
          <t>AC/_x000D_DC</t>
        </is>
      </c>
      <c r="I11" s="17" t="n">
        <v>0.1</v>
      </c>
      <c r="J11" t="n">
        <v>3</v>
      </c>
      <c r="K11" t="inlineStr">
        <is>
          <t>Optional</t>
        </is>
      </c>
      <c r="L11" t="n">
        <v>8700</v>
      </c>
      <c r="M11" t="n">
        <v>-25</v>
      </c>
      <c r="N11" t="n">
        <v>40</v>
      </c>
      <c r="O11" t="n">
        <v>4.8</v>
      </c>
      <c r="P11" s="18">
        <f>((1000*O11)/0.08924)/1000</f>
        <v/>
      </c>
      <c r="Q11" s="18" t="n"/>
      <c r="R11" s="19" t="n">
        <v>0.2</v>
      </c>
      <c r="T11" t="n">
        <v>62.5</v>
      </c>
      <c r="U11" t="n">
        <v>92.5</v>
      </c>
      <c r="V11" t="n">
        <v>20</v>
      </c>
      <c r="W11" t="n">
        <v>55</v>
      </c>
      <c r="X11" t="n">
        <v>2</v>
      </c>
      <c r="Y11" t="n">
        <v>35000</v>
      </c>
      <c r="Z11" t="n">
        <v>8760</v>
      </c>
      <c r="AA11" t="n">
        <v>3</v>
      </c>
      <c r="AB11" t="n">
        <v>35</v>
      </c>
      <c r="AC11" t="n">
        <v>0.18</v>
      </c>
      <c r="AD11" t="n">
        <v>2</v>
      </c>
      <c r="AE11" t="inlineStr">
        <is>
          <t>Optional</t>
        </is>
      </c>
      <c r="AF11" t="n">
        <v>5</v>
      </c>
      <c r="AG11" t="n">
        <v>35</v>
      </c>
    </row>
    <row r="12">
      <c r="A12" t="inlineStr">
        <is>
          <t>HIAT gGmbH</t>
        </is>
      </c>
      <c r="B12" t="inlineStr">
        <is>
          <t>CUSTOMIZER</t>
        </is>
      </c>
      <c r="C12" t="inlineStr">
        <is>
          <t>PEM</t>
        </is>
      </c>
      <c r="F12" t="n">
        <v>13</v>
      </c>
      <c r="I12" s="17" t="n"/>
      <c r="O12" t="n">
        <v>5</v>
      </c>
      <c r="P12" s="18">
        <f>((1000*O12)/0.08924)/1000</f>
        <v/>
      </c>
      <c r="Q12" s="18" t="n"/>
      <c r="R12" s="19" t="n"/>
      <c r="T12" t="n">
        <v>60</v>
      </c>
      <c r="V12" t="n">
        <v>20</v>
      </c>
      <c r="W12" t="n">
        <v>80</v>
      </c>
      <c r="X12" t="n">
        <v>0.1</v>
      </c>
      <c r="Y12" t="n">
        <v>40000</v>
      </c>
      <c r="AB12" t="n">
        <v>40</v>
      </c>
      <c r="AC12" t="n">
        <v>0.23</v>
      </c>
      <c r="AD12" t="n">
        <v>2.5</v>
      </c>
    </row>
    <row r="13">
      <c r="A13" t="inlineStr">
        <is>
          <t>ostermeier H2ydrogen_x000D_Solutions GmbH</t>
        </is>
      </c>
      <c r="B13" t="inlineStr">
        <is>
          <t>EO.10</t>
        </is>
      </c>
      <c r="C13" t="inlineStr">
        <is>
          <t>PEM</t>
        </is>
      </c>
      <c r="D13" t="n">
        <v>1</v>
      </c>
      <c r="E13" t="n">
        <v>11</v>
      </c>
      <c r="F13" t="n">
        <v>14</v>
      </c>
      <c r="G13" t="n">
        <v>400</v>
      </c>
      <c r="H13" t="inlineStr">
        <is>
          <t>AC</t>
        </is>
      </c>
      <c r="I13" s="17" t="n">
        <v>0.2142857142857143</v>
      </c>
      <c r="J13" t="n">
        <v>40</v>
      </c>
      <c r="K13" t="inlineStr">
        <is>
          <t>Yes</t>
        </is>
      </c>
      <c r="L13" t="n">
        <v>8500</v>
      </c>
      <c r="M13" t="n">
        <v>5</v>
      </c>
      <c r="N13" t="n">
        <v>35</v>
      </c>
      <c r="R13" s="19" t="n"/>
      <c r="V13" t="n">
        <v>20</v>
      </c>
      <c r="W13" t="n">
        <v>65</v>
      </c>
      <c r="X13" t="n">
        <v>0.1</v>
      </c>
      <c r="Y13" t="n">
        <v>35000</v>
      </c>
      <c r="AA13" t="n">
        <v>3</v>
      </c>
      <c r="AB13" t="n">
        <v>20</v>
      </c>
      <c r="AC13" t="n">
        <v>0.2</v>
      </c>
      <c r="AD13" t="n">
        <v>2.2</v>
      </c>
      <c r="AE13" t="inlineStr">
        <is>
          <t>Optional</t>
        </is>
      </c>
    </row>
    <row r="14">
      <c r="A14" t="inlineStr">
        <is>
          <t>ostermeier H2ydrogen_x000D_Solutions GmbH</t>
        </is>
      </c>
      <c r="B14" t="inlineStr">
        <is>
          <t>EO.15</t>
        </is>
      </c>
      <c r="C14" t="inlineStr">
        <is>
          <t>PEM</t>
        </is>
      </c>
      <c r="D14" t="n">
        <v>1</v>
      </c>
      <c r="E14" t="n">
        <v>17</v>
      </c>
      <c r="F14" t="n">
        <v>20</v>
      </c>
      <c r="G14" t="n">
        <v>400</v>
      </c>
      <c r="H14" t="inlineStr">
        <is>
          <t>AC</t>
        </is>
      </c>
      <c r="I14" s="17" t="n">
        <v>0.15</v>
      </c>
      <c r="J14" t="n">
        <v>40</v>
      </c>
      <c r="K14" t="inlineStr">
        <is>
          <t>Yes</t>
        </is>
      </c>
      <c r="L14" t="n">
        <v>8500</v>
      </c>
      <c r="M14" t="n">
        <v>5</v>
      </c>
      <c r="N14" t="n">
        <v>35</v>
      </c>
      <c r="R14" s="19" t="n"/>
      <c r="V14" t="n">
        <v>20</v>
      </c>
      <c r="W14" t="n">
        <v>65</v>
      </c>
      <c r="X14" t="n">
        <v>0.1</v>
      </c>
      <c r="Y14" t="n">
        <v>35000</v>
      </c>
      <c r="AA14" t="n">
        <v>3</v>
      </c>
      <c r="AB14" t="n">
        <v>20</v>
      </c>
      <c r="AC14" t="n">
        <v>0.3</v>
      </c>
      <c r="AD14" t="n">
        <v>3.3</v>
      </c>
      <c r="AE14" t="inlineStr">
        <is>
          <t>Optional</t>
        </is>
      </c>
    </row>
    <row r="15">
      <c r="A15" t="inlineStr">
        <is>
          <t>H2 Core Systems GmbH</t>
        </is>
      </c>
      <c r="B15" t="inlineStr">
        <is>
          <t>HydroCab_x000D_Indoor 4.5_x000D_Nm3/h</t>
        </is>
      </c>
      <c r="C15" t="inlineStr">
        <is>
          <t>AEC</t>
        </is>
      </c>
      <c r="D15" t="n">
        <v>1</v>
      </c>
      <c r="E15" t="n">
        <v>22</v>
      </c>
      <c r="F15" t="n">
        <v>22</v>
      </c>
      <c r="G15" t="n">
        <v>400</v>
      </c>
      <c r="H15" t="inlineStr">
        <is>
          <t>AC/_x000D_DC</t>
        </is>
      </c>
      <c r="I15" s="17" t="n">
        <v>0.09090909090909091</v>
      </c>
      <c r="J15" t="n">
        <v>3</v>
      </c>
      <c r="K15" t="inlineStr">
        <is>
          <t>Optional</t>
        </is>
      </c>
      <c r="L15" t="n">
        <v>8700</v>
      </c>
      <c r="M15" t="n">
        <v>5</v>
      </c>
      <c r="N15" t="n">
        <v>45</v>
      </c>
      <c r="O15" t="n">
        <v>4.8</v>
      </c>
      <c r="P15" s="18">
        <f>((1000*O15)/0.08924)/1000</f>
        <v/>
      </c>
      <c r="Q15" s="18" t="n"/>
      <c r="R15" s="19" t="n">
        <v>0.2272727272727273</v>
      </c>
      <c r="T15" t="n">
        <v>62.5</v>
      </c>
      <c r="U15" t="n">
        <v>92.5</v>
      </c>
      <c r="V15" t="n">
        <v>20</v>
      </c>
      <c r="W15" t="n">
        <v>55</v>
      </c>
      <c r="X15" t="n">
        <v>2</v>
      </c>
      <c r="Y15" t="n">
        <v>35000</v>
      </c>
      <c r="Z15" t="n">
        <v>8760</v>
      </c>
      <c r="AA15" t="n">
        <v>3</v>
      </c>
      <c r="AB15" t="n">
        <v>35</v>
      </c>
      <c r="AC15" t="n">
        <v>0.4</v>
      </c>
      <c r="AD15" t="n">
        <v>4.4</v>
      </c>
      <c r="AE15" t="inlineStr">
        <is>
          <t>Optional</t>
        </is>
      </c>
      <c r="AF15" t="n">
        <v>5</v>
      </c>
      <c r="AG15" t="n">
        <v>35</v>
      </c>
    </row>
    <row r="16">
      <c r="A16" t="inlineStr">
        <is>
          <t>H2 Core Systems GmbH</t>
        </is>
      </c>
      <c r="B16" t="inlineStr">
        <is>
          <t>HydroCab_x000D_Outdoor 4.5_x000D_Nm3/h</t>
        </is>
      </c>
      <c r="C16" t="inlineStr">
        <is>
          <t>AEC</t>
        </is>
      </c>
      <c r="D16" t="n">
        <v>1</v>
      </c>
      <c r="E16" t="n">
        <v>22</v>
      </c>
      <c r="F16" t="n">
        <v>22</v>
      </c>
      <c r="G16" t="n">
        <v>400</v>
      </c>
      <c r="H16" t="inlineStr">
        <is>
          <t>AC/_x000D_DC</t>
        </is>
      </c>
      <c r="I16" s="17" t="n">
        <v>0.09090909090909091</v>
      </c>
      <c r="J16" t="n">
        <v>3</v>
      </c>
      <c r="K16" t="inlineStr">
        <is>
          <t>Optional</t>
        </is>
      </c>
      <c r="L16" t="n">
        <v>8700</v>
      </c>
      <c r="M16" t="n">
        <v>-25</v>
      </c>
      <c r="N16" t="n">
        <v>40</v>
      </c>
      <c r="O16" t="n">
        <v>4.8</v>
      </c>
      <c r="P16" s="18">
        <f>((1000*O16)/0.08924)/1000</f>
        <v/>
      </c>
      <c r="Q16" s="18" t="n"/>
      <c r="R16" s="19" t="n">
        <v>0.2272727272727273</v>
      </c>
      <c r="T16" t="n">
        <v>62.5</v>
      </c>
      <c r="U16" t="n">
        <v>92.5</v>
      </c>
      <c r="V16" t="n">
        <v>20</v>
      </c>
      <c r="W16" t="n">
        <v>55</v>
      </c>
      <c r="X16" t="n">
        <v>2</v>
      </c>
      <c r="Y16" t="n">
        <v>35000</v>
      </c>
      <c r="Z16" t="n">
        <v>8760</v>
      </c>
      <c r="AA16" t="n">
        <v>3</v>
      </c>
      <c r="AB16" t="n">
        <v>35</v>
      </c>
      <c r="AC16" t="n">
        <v>0.4</v>
      </c>
      <c r="AD16" t="n">
        <v>4.4</v>
      </c>
      <c r="AE16" t="inlineStr">
        <is>
          <t>Optional</t>
        </is>
      </c>
      <c r="AF16" t="n">
        <v>5</v>
      </c>
      <c r="AG16" t="n">
        <v>35</v>
      </c>
    </row>
    <row r="17">
      <c r="A17" t="inlineStr">
        <is>
          <t>McPhy Energy S.A.</t>
        </is>
      </c>
      <c r="B17" t="inlineStr">
        <is>
          <t>Piel M</t>
        </is>
      </c>
      <c r="C17" t="inlineStr">
        <is>
          <t>AEC</t>
        </is>
      </c>
      <c r="D17" t="n">
        <v>14</v>
      </c>
      <c r="F17" t="n">
        <v>26</v>
      </c>
      <c r="I17" s="17" t="n"/>
      <c r="R17" s="19" t="n"/>
      <c r="AB17" t="n">
        <v>2.5</v>
      </c>
      <c r="AC17" t="n">
        <v>0.4</v>
      </c>
      <c r="AD17" t="n">
        <v>4.4</v>
      </c>
      <c r="AE17" t="inlineStr">
        <is>
          <t>Optional</t>
        </is>
      </c>
    </row>
    <row r="18">
      <c r="A18" t="inlineStr">
        <is>
          <t>ostermeier H2ydrogen_x000D_Solutions GmbH</t>
        </is>
      </c>
      <c r="B18" t="inlineStr">
        <is>
          <t>EO.20</t>
        </is>
      </c>
      <c r="C18" t="inlineStr">
        <is>
          <t>PEM</t>
        </is>
      </c>
      <c r="D18" t="n">
        <v>1</v>
      </c>
      <c r="E18" t="n">
        <v>22</v>
      </c>
      <c r="F18" t="n">
        <v>27</v>
      </c>
      <c r="G18" t="n">
        <v>400</v>
      </c>
      <c r="H18" t="inlineStr">
        <is>
          <t>AC</t>
        </is>
      </c>
      <c r="I18" s="17" t="n">
        <v>0.1111111111111111</v>
      </c>
      <c r="J18" t="n">
        <v>40</v>
      </c>
      <c r="K18" t="inlineStr">
        <is>
          <t>Yes</t>
        </is>
      </c>
      <c r="L18" t="n">
        <v>8500</v>
      </c>
      <c r="M18" t="n">
        <v>5</v>
      </c>
      <c r="N18" t="n">
        <v>35</v>
      </c>
      <c r="R18" s="19" t="n"/>
      <c r="V18" t="n">
        <v>20</v>
      </c>
      <c r="W18" t="n">
        <v>65</v>
      </c>
      <c r="X18" t="n">
        <v>0.1</v>
      </c>
      <c r="Y18" t="n">
        <v>35000</v>
      </c>
      <c r="AA18" t="n">
        <v>3</v>
      </c>
      <c r="AB18" t="n">
        <v>20</v>
      </c>
      <c r="AC18" t="n">
        <v>0.4</v>
      </c>
      <c r="AD18" t="n">
        <v>4.4</v>
      </c>
      <c r="AE18" t="inlineStr">
        <is>
          <t>Optional</t>
        </is>
      </c>
    </row>
    <row r="19">
      <c r="A19" t="inlineStr">
        <is>
          <t>AVX/KUMATEC Hydrogen_x000D_GmbH &amp; Co. KG</t>
        </is>
      </c>
      <c r="B19" t="inlineStr">
        <is>
          <t>PEM-100-25</t>
        </is>
      </c>
      <c r="C19" t="inlineStr">
        <is>
          <t>PEM</t>
        </is>
      </c>
      <c r="D19" t="n">
        <v>3</v>
      </c>
      <c r="E19" t="n">
        <v>25</v>
      </c>
      <c r="F19" t="n">
        <v>28</v>
      </c>
      <c r="G19" t="n">
        <v>400</v>
      </c>
      <c r="H19" t="inlineStr">
        <is>
          <t>AC</t>
        </is>
      </c>
      <c r="I19" s="17" t="n">
        <v>0.5357142857142857</v>
      </c>
      <c r="J19" t="n">
        <v>1</v>
      </c>
      <c r="K19" t="inlineStr">
        <is>
          <t>Yes</t>
        </is>
      </c>
      <c r="L19" t="n">
        <v>8410</v>
      </c>
      <c r="M19" t="n">
        <v>-20</v>
      </c>
      <c r="N19" t="n">
        <v>40</v>
      </c>
      <c r="O19" t="n">
        <v>4.9</v>
      </c>
      <c r="P19" s="18">
        <f>((1000*O19)/0.08924)/1000</f>
        <v/>
      </c>
      <c r="Q19" s="18" t="n"/>
      <c r="R19" s="19" t="n"/>
      <c r="T19" t="n">
        <v>61.2</v>
      </c>
      <c r="V19" t="n">
        <v>20</v>
      </c>
      <c r="W19" t="n">
        <v>80</v>
      </c>
      <c r="X19" t="n">
        <v>1</v>
      </c>
      <c r="Y19" t="n">
        <v>50000</v>
      </c>
      <c r="AA19" t="n">
        <v>3.5</v>
      </c>
      <c r="AB19" t="n">
        <v>100</v>
      </c>
      <c r="AC19" t="n">
        <v>0.45</v>
      </c>
      <c r="AD19" t="n">
        <v>5</v>
      </c>
      <c r="AE19" t="inlineStr">
        <is>
          <t>Yes</t>
        </is>
      </c>
    </row>
    <row r="20">
      <c r="A20" t="inlineStr">
        <is>
          <t>ostermeier H2ydrogen_x000D_Solutions GmbH</t>
        </is>
      </c>
      <c r="B20" t="inlineStr">
        <is>
          <t>EO.25</t>
        </is>
      </c>
      <c r="C20" t="inlineStr">
        <is>
          <t>PEM</t>
        </is>
      </c>
      <c r="D20" t="n">
        <v>1</v>
      </c>
      <c r="E20" t="n">
        <v>27</v>
      </c>
      <c r="F20" t="n">
        <v>33</v>
      </c>
      <c r="G20" t="n">
        <v>400</v>
      </c>
      <c r="H20" t="inlineStr">
        <is>
          <t>AC</t>
        </is>
      </c>
      <c r="I20" s="17" t="n">
        <v>0.09090909090909091</v>
      </c>
      <c r="J20" t="n">
        <v>40</v>
      </c>
      <c r="K20" t="inlineStr">
        <is>
          <t>Yes</t>
        </is>
      </c>
      <c r="L20" t="n">
        <v>8500</v>
      </c>
      <c r="M20" t="n">
        <v>5</v>
      </c>
      <c r="N20" t="n">
        <v>35</v>
      </c>
      <c r="R20" s="19" t="n"/>
      <c r="V20" t="n">
        <v>20</v>
      </c>
      <c r="W20" t="n">
        <v>65</v>
      </c>
      <c r="X20" t="n">
        <v>0.1</v>
      </c>
      <c r="Y20" t="n">
        <v>35000</v>
      </c>
      <c r="AA20" t="n">
        <v>3</v>
      </c>
      <c r="AB20" t="n">
        <v>20</v>
      </c>
      <c r="AC20" t="n">
        <v>0.5</v>
      </c>
      <c r="AD20" t="n">
        <v>5.6</v>
      </c>
      <c r="AE20" t="inlineStr">
        <is>
          <t>Optional</t>
        </is>
      </c>
    </row>
    <row r="21">
      <c r="A21" t="inlineStr">
        <is>
          <t>HIAT gGmbH</t>
        </is>
      </c>
      <c r="B21" t="inlineStr">
        <is>
          <t>SUPPLIER</t>
        </is>
      </c>
      <c r="C21" t="inlineStr">
        <is>
          <t>PEM</t>
        </is>
      </c>
      <c r="F21" t="n">
        <v>35</v>
      </c>
      <c r="I21" s="17" t="n"/>
      <c r="O21" t="n">
        <v>5</v>
      </c>
      <c r="P21" s="18">
        <f>((1000*O21)/0.08924)/1000</f>
        <v/>
      </c>
      <c r="Q21" s="18" t="n"/>
      <c r="R21" s="19" t="n"/>
      <c r="T21" t="n">
        <v>60</v>
      </c>
      <c r="V21" t="n">
        <v>20</v>
      </c>
      <c r="W21" t="n">
        <v>80</v>
      </c>
      <c r="X21" t="n">
        <v>0.1</v>
      </c>
      <c r="Y21" t="n">
        <v>40000</v>
      </c>
      <c r="AB21" t="n">
        <v>40</v>
      </c>
      <c r="AC21" t="n">
        <v>0.63</v>
      </c>
      <c r="AD21" t="n">
        <v>6.9</v>
      </c>
    </row>
    <row r="22">
      <c r="A22" t="inlineStr">
        <is>
          <t>H2 Core Systems GmbH</t>
        </is>
      </c>
      <c r="B22" t="inlineStr">
        <is>
          <t>HydroCab_x000D_Indoor 9.0_x000D_Nm3/h</t>
        </is>
      </c>
      <c r="C22" t="inlineStr">
        <is>
          <t>AEC</t>
        </is>
      </c>
      <c r="D22" t="n">
        <v>1</v>
      </c>
      <c r="E22" t="n">
        <v>43</v>
      </c>
      <c r="F22" t="n">
        <v>43</v>
      </c>
      <c r="G22" t="n">
        <v>400</v>
      </c>
      <c r="H22" t="inlineStr">
        <is>
          <t>AC/_x000D_DC</t>
        </is>
      </c>
      <c r="I22" s="17" t="n">
        <v>0.09302325581395349</v>
      </c>
      <c r="J22" t="n">
        <v>3</v>
      </c>
      <c r="K22" t="inlineStr">
        <is>
          <t>Optional</t>
        </is>
      </c>
      <c r="L22" t="n">
        <v>8700</v>
      </c>
      <c r="M22" t="n">
        <v>5</v>
      </c>
      <c r="N22" t="n">
        <v>45</v>
      </c>
      <c r="O22" t="n">
        <v>4.8</v>
      </c>
      <c r="P22" s="18">
        <f>((1000*O22)/0.08924)/1000</f>
        <v/>
      </c>
      <c r="Q22" s="18" t="n"/>
      <c r="R22" s="19" t="n">
        <v>0.2558139534883721</v>
      </c>
      <c r="T22" t="n">
        <v>62.5</v>
      </c>
      <c r="U22" t="n">
        <v>92.5</v>
      </c>
      <c r="V22" t="n">
        <v>20</v>
      </c>
      <c r="W22" t="n">
        <v>55</v>
      </c>
      <c r="X22" t="n">
        <v>2</v>
      </c>
      <c r="Y22" t="n">
        <v>35000</v>
      </c>
      <c r="Z22" t="n">
        <v>8760</v>
      </c>
      <c r="AA22" t="n">
        <v>3</v>
      </c>
      <c r="AB22" t="n">
        <v>35</v>
      </c>
      <c r="AC22" t="n">
        <v>0.8</v>
      </c>
      <c r="AD22" t="n">
        <v>8.9</v>
      </c>
      <c r="AE22" t="inlineStr">
        <is>
          <t>Optional</t>
        </is>
      </c>
      <c r="AF22" t="n">
        <v>5</v>
      </c>
      <c r="AG22" t="n">
        <v>35</v>
      </c>
    </row>
    <row r="23">
      <c r="A23" t="inlineStr">
        <is>
          <t>H2 Core Systems GmbH</t>
        </is>
      </c>
      <c r="B23" t="inlineStr">
        <is>
          <t>HydroCab_x000D_Outdoor 9.0_x000D_Nm3/h</t>
        </is>
      </c>
      <c r="C23" t="inlineStr">
        <is>
          <t>AEC</t>
        </is>
      </c>
      <c r="D23" t="n">
        <v>1</v>
      </c>
      <c r="E23" t="n">
        <v>43</v>
      </c>
      <c r="F23" t="n">
        <v>43</v>
      </c>
      <c r="G23" t="n">
        <v>400</v>
      </c>
      <c r="H23" t="inlineStr">
        <is>
          <t>AC/_x000D_DC</t>
        </is>
      </c>
      <c r="I23" s="17" t="n">
        <v>0.09302325581395349</v>
      </c>
      <c r="J23" t="n">
        <v>3</v>
      </c>
      <c r="K23" t="inlineStr">
        <is>
          <t>Optional</t>
        </is>
      </c>
      <c r="L23" t="n">
        <v>8700</v>
      </c>
      <c r="M23" t="n">
        <v>-25</v>
      </c>
      <c r="N23" t="n">
        <v>40</v>
      </c>
      <c r="O23" t="n">
        <v>4.8</v>
      </c>
      <c r="P23" s="18">
        <f>((1000*O23)/0.08924)/1000</f>
        <v/>
      </c>
      <c r="Q23" s="18" t="n"/>
      <c r="R23" s="19" t="n">
        <v>0.2558139534883721</v>
      </c>
      <c r="T23" t="n">
        <v>62.5</v>
      </c>
      <c r="U23" t="n">
        <v>92.5</v>
      </c>
      <c r="V23" t="n">
        <v>20</v>
      </c>
      <c r="W23" t="n">
        <v>55</v>
      </c>
      <c r="X23" t="n">
        <v>2</v>
      </c>
      <c r="Y23" t="n">
        <v>35000</v>
      </c>
      <c r="Z23" t="n">
        <v>8760</v>
      </c>
      <c r="AA23" t="n">
        <v>3</v>
      </c>
      <c r="AB23" t="n">
        <v>35</v>
      </c>
      <c r="AC23" t="n">
        <v>0.8</v>
      </c>
      <c r="AD23" t="n">
        <v>8.9</v>
      </c>
      <c r="AE23" t="inlineStr">
        <is>
          <t>Optional</t>
        </is>
      </c>
      <c r="AF23" t="n">
        <v>5</v>
      </c>
      <c r="AG23" t="n">
        <v>35</v>
      </c>
    </row>
    <row r="24">
      <c r="A24" t="inlineStr">
        <is>
          <t>McPhy Energy S.A.</t>
        </is>
      </c>
      <c r="B24" t="inlineStr">
        <is>
          <t>McLyzer 10-30</t>
        </is>
      </c>
      <c r="C24" t="inlineStr">
        <is>
          <t>AEC</t>
        </is>
      </c>
      <c r="F24" t="n">
        <v>50</v>
      </c>
      <c r="H24" t="inlineStr">
        <is>
          <t>DC</t>
        </is>
      </c>
      <c r="I24" s="17" t="n"/>
      <c r="O24" t="n">
        <v>4.5</v>
      </c>
      <c r="P24" s="18">
        <f>((1000*O24)/0.08924)/1000</f>
        <v/>
      </c>
      <c r="Q24" s="18" t="n"/>
      <c r="R24" s="19" t="n"/>
      <c r="T24" t="n">
        <v>66.7</v>
      </c>
      <c r="AB24" t="n">
        <v>30</v>
      </c>
      <c r="AC24" t="n">
        <v>0.9</v>
      </c>
      <c r="AD24" t="n">
        <v>10</v>
      </c>
    </row>
    <row r="25">
      <c r="A25" t="inlineStr">
        <is>
          <t>Kyros Hydrogen_x000D_Solutions GmbH</t>
        </is>
      </c>
      <c r="B25" t="inlineStr">
        <is>
          <t>Kyros_x000D_Electrolyzer 50</t>
        </is>
      </c>
      <c r="C25" t="inlineStr">
        <is>
          <t>PEM</t>
        </is>
      </c>
      <c r="D25" t="n">
        <v>10</v>
      </c>
      <c r="E25" t="n">
        <v>50</v>
      </c>
      <c r="F25" t="n">
        <v>60</v>
      </c>
      <c r="G25" t="n">
        <v>400</v>
      </c>
      <c r="H25" t="inlineStr">
        <is>
          <t>AC/_x000D_DC</t>
        </is>
      </c>
      <c r="I25" s="17" t="n">
        <v>0.1166666666666667</v>
      </c>
      <c r="J25" t="n">
        <v>15</v>
      </c>
      <c r="K25" t="inlineStr">
        <is>
          <t>Yes</t>
        </is>
      </c>
      <c r="L25" t="n">
        <v>8650</v>
      </c>
      <c r="M25" t="n">
        <v>-40</v>
      </c>
      <c r="N25" t="n">
        <v>35</v>
      </c>
      <c r="O25" t="n">
        <v>4.8</v>
      </c>
      <c r="P25" s="18">
        <f>((1000*O25)/0.08924)/1000</f>
        <v/>
      </c>
      <c r="Q25" s="18" t="n"/>
      <c r="R25" s="19" t="n">
        <v>0.1666666666666667</v>
      </c>
      <c r="S25" t="n">
        <v>62</v>
      </c>
      <c r="T25" t="n">
        <v>62.5</v>
      </c>
      <c r="V25" t="n">
        <v>25</v>
      </c>
      <c r="W25" t="n">
        <v>75</v>
      </c>
      <c r="X25" t="n">
        <v>0.1</v>
      </c>
      <c r="Y25" t="n">
        <v>80000</v>
      </c>
      <c r="Z25" t="n">
        <v>8600</v>
      </c>
      <c r="AA25" t="n">
        <v>3.8</v>
      </c>
      <c r="AB25" t="n">
        <v>40</v>
      </c>
      <c r="AC25" t="n">
        <v>0.89</v>
      </c>
      <c r="AD25" t="n">
        <v>9.9</v>
      </c>
      <c r="AE25" t="inlineStr">
        <is>
          <t>Yes</t>
        </is>
      </c>
      <c r="AF25" t="n">
        <v>5</v>
      </c>
      <c r="AG25" t="n">
        <v>40</v>
      </c>
    </row>
    <row r="26">
      <c r="A26" t="inlineStr">
        <is>
          <t>McPhy Energy S.A.</t>
        </is>
      </c>
      <c r="B26" t="inlineStr">
        <is>
          <t>Piel H</t>
        </is>
      </c>
      <c r="C26" t="inlineStr">
        <is>
          <t>AEC</t>
        </is>
      </c>
      <c r="D26" t="n">
        <v>18</v>
      </c>
      <c r="F26" t="n">
        <v>60</v>
      </c>
      <c r="I26" s="17" t="n"/>
      <c r="R26" s="19" t="n"/>
      <c r="AB26" t="n">
        <v>8</v>
      </c>
      <c r="AC26" t="n">
        <v>0.9</v>
      </c>
      <c r="AD26" t="n">
        <v>10</v>
      </c>
      <c r="AE26" t="inlineStr">
        <is>
          <t>Optional</t>
        </is>
      </c>
    </row>
    <row r="27">
      <c r="A27" t="inlineStr">
        <is>
          <t>H2 Core Systems GmbH</t>
        </is>
      </c>
      <c r="B27" t="inlineStr">
        <is>
          <t>HydroCab_x000D_Indoor 18.0_x000D_Nm3/h</t>
        </is>
      </c>
      <c r="C27" t="inlineStr">
        <is>
          <t>AEC</t>
        </is>
      </c>
      <c r="D27" t="n">
        <v>1</v>
      </c>
      <c r="E27" t="n">
        <v>86</v>
      </c>
      <c r="F27" t="n">
        <v>86</v>
      </c>
      <c r="G27" t="n">
        <v>400</v>
      </c>
      <c r="H27" t="inlineStr">
        <is>
          <t>AC/_x000D_DC</t>
        </is>
      </c>
      <c r="I27" s="17" t="n">
        <v>0.09302325581395349</v>
      </c>
      <c r="J27" t="n">
        <v>3</v>
      </c>
      <c r="K27" t="inlineStr">
        <is>
          <t>Optional</t>
        </is>
      </c>
      <c r="L27" t="n">
        <v>8700</v>
      </c>
      <c r="M27" t="n">
        <v>5</v>
      </c>
      <c r="N27" t="n">
        <v>45</v>
      </c>
      <c r="O27" t="n">
        <v>4.8</v>
      </c>
      <c r="P27" s="18">
        <f>((1000*O27)/0.08924)/1000</f>
        <v/>
      </c>
      <c r="Q27" s="18" t="n"/>
      <c r="R27" s="19" t="n">
        <v>0.2558139534883721</v>
      </c>
      <c r="T27" t="n">
        <v>62.5</v>
      </c>
      <c r="U27" t="n">
        <v>92.5</v>
      </c>
      <c r="V27" t="n">
        <v>20</v>
      </c>
      <c r="W27" t="n">
        <v>55</v>
      </c>
      <c r="X27" t="n">
        <v>2</v>
      </c>
      <c r="Y27" t="n">
        <v>35000</v>
      </c>
      <c r="Z27" t="n">
        <v>8760</v>
      </c>
      <c r="AA27" t="n">
        <v>3</v>
      </c>
      <c r="AB27" t="n">
        <v>35</v>
      </c>
      <c r="AC27" t="n">
        <v>1.6</v>
      </c>
      <c r="AD27" t="n">
        <v>17.8</v>
      </c>
      <c r="AE27" t="inlineStr">
        <is>
          <t>Optional</t>
        </is>
      </c>
      <c r="AF27" t="n">
        <v>5</v>
      </c>
      <c r="AG27" t="n">
        <v>35</v>
      </c>
    </row>
    <row r="28">
      <c r="A28" t="inlineStr">
        <is>
          <t>H2 Core Systems GmbH</t>
        </is>
      </c>
      <c r="B28" t="inlineStr">
        <is>
          <t>HydroCab_x000D_Outdoor 18.0_x000D_Nm3/h</t>
        </is>
      </c>
      <c r="C28" t="inlineStr">
        <is>
          <t>AEC</t>
        </is>
      </c>
      <c r="D28" t="n">
        <v>1</v>
      </c>
      <c r="E28" t="n">
        <v>86</v>
      </c>
      <c r="F28" t="n">
        <v>86</v>
      </c>
      <c r="G28" t="n">
        <v>400</v>
      </c>
      <c r="H28" t="inlineStr">
        <is>
          <t>AC/_x000D_DC</t>
        </is>
      </c>
      <c r="I28" s="17" t="n">
        <v>0.09302325581395349</v>
      </c>
      <c r="J28" t="n">
        <v>3</v>
      </c>
      <c r="K28" t="inlineStr">
        <is>
          <t>Optional</t>
        </is>
      </c>
      <c r="L28" t="n">
        <v>8700</v>
      </c>
      <c r="M28" t="n">
        <v>-25</v>
      </c>
      <c r="N28" t="n">
        <v>40</v>
      </c>
      <c r="O28" t="n">
        <v>4.8</v>
      </c>
      <c r="P28" s="18">
        <f>((1000*O28)/0.08924)/1000</f>
        <v/>
      </c>
      <c r="Q28" s="18" t="n"/>
      <c r="R28" s="19" t="n">
        <v>0.2558139534883721</v>
      </c>
      <c r="T28" t="n">
        <v>62.5</v>
      </c>
      <c r="U28" t="n">
        <v>92.5</v>
      </c>
      <c r="V28" t="n">
        <v>20</v>
      </c>
      <c r="W28" t="n">
        <v>55</v>
      </c>
      <c r="X28" t="n">
        <v>2</v>
      </c>
      <c r="Y28" t="n">
        <v>35000</v>
      </c>
      <c r="Z28" t="n">
        <v>8760</v>
      </c>
      <c r="AA28" t="n">
        <v>3</v>
      </c>
      <c r="AB28" t="n">
        <v>35</v>
      </c>
      <c r="AC28" t="n">
        <v>1.6</v>
      </c>
      <c r="AD28" t="n">
        <v>17.8</v>
      </c>
      <c r="AE28" t="inlineStr">
        <is>
          <t>Optional</t>
        </is>
      </c>
      <c r="AF28" t="n">
        <v>5</v>
      </c>
      <c r="AG28" t="n">
        <v>35</v>
      </c>
    </row>
    <row r="29">
      <c r="A29" t="inlineStr">
        <is>
          <t>McPhy Energy S.A.</t>
        </is>
      </c>
      <c r="B29" t="inlineStr">
        <is>
          <t>McLyzer 20-30</t>
        </is>
      </c>
      <c r="C29" t="inlineStr">
        <is>
          <t>AEC</t>
        </is>
      </c>
      <c r="F29" t="n">
        <v>100</v>
      </c>
      <c r="H29" t="inlineStr">
        <is>
          <t>DC</t>
        </is>
      </c>
      <c r="I29" s="17" t="n"/>
      <c r="O29" t="n">
        <v>4.5</v>
      </c>
      <c r="P29" s="18">
        <f>((1000*O29)/0.08924)/1000</f>
        <v/>
      </c>
      <c r="Q29" s="18" t="n"/>
      <c r="R29" s="19" t="n"/>
      <c r="T29" t="n">
        <v>66.7</v>
      </c>
      <c r="AB29" t="n">
        <v>30</v>
      </c>
      <c r="AC29" t="n">
        <v>1.8</v>
      </c>
      <c r="AD29" t="n">
        <v>20</v>
      </c>
    </row>
    <row r="30">
      <c r="A30" t="inlineStr">
        <is>
          <t>HIAT gGmbH</t>
        </is>
      </c>
      <c r="B30" t="inlineStr">
        <is>
          <t>STORAGER</t>
        </is>
      </c>
      <c r="C30" t="inlineStr">
        <is>
          <t>PEM</t>
        </is>
      </c>
      <c r="F30" t="n">
        <v>100</v>
      </c>
      <c r="I30" s="17" t="n"/>
      <c r="O30" t="n">
        <v>5</v>
      </c>
      <c r="P30" s="18">
        <f>((1000*O30)/0.08924)/1000</f>
        <v/>
      </c>
      <c r="Q30" s="18" t="n"/>
      <c r="R30" s="19" t="n"/>
      <c r="T30" t="n">
        <v>60</v>
      </c>
      <c r="V30" t="n">
        <v>20</v>
      </c>
      <c r="W30" t="n">
        <v>80</v>
      </c>
      <c r="X30" t="n">
        <v>0.1</v>
      </c>
      <c r="Y30" t="n">
        <v>40000</v>
      </c>
      <c r="AB30" t="n">
        <v>40</v>
      </c>
      <c r="AC30" t="n">
        <v>1.79</v>
      </c>
      <c r="AD30" t="n">
        <v>19.9</v>
      </c>
    </row>
    <row r="31">
      <c r="A31" t="inlineStr">
        <is>
          <t>iph Hähn Gmbh</t>
        </is>
      </c>
      <c r="B31" t="inlineStr">
        <is>
          <t>EL20</t>
        </is>
      </c>
      <c r="C31" t="inlineStr">
        <is>
          <t>PEM</t>
        </is>
      </c>
      <c r="D31" t="n">
        <v>12</v>
      </c>
      <c r="E31" t="n">
        <v>100</v>
      </c>
      <c r="F31" t="n">
        <v>105</v>
      </c>
      <c r="G31" t="n">
        <v>400</v>
      </c>
      <c r="H31" t="inlineStr">
        <is>
          <t>AC</t>
        </is>
      </c>
      <c r="I31" s="17" t="n">
        <v>0.06666666666666667</v>
      </c>
      <c r="J31" t="n">
        <v>40</v>
      </c>
      <c r="K31" t="inlineStr">
        <is>
          <t>Optional</t>
        </is>
      </c>
      <c r="L31" t="n">
        <v>8600</v>
      </c>
      <c r="M31" t="n">
        <v>5</v>
      </c>
      <c r="N31" t="n">
        <v>45</v>
      </c>
      <c r="R31" s="19" t="n"/>
      <c r="AB31" t="n">
        <v>30</v>
      </c>
      <c r="AC31" t="n">
        <v>1.75</v>
      </c>
      <c r="AD31" t="n">
        <v>19.4</v>
      </c>
      <c r="AE31" t="inlineStr">
        <is>
          <t>Optional</t>
        </is>
      </c>
    </row>
    <row r="32">
      <c r="A32" t="inlineStr">
        <is>
          <t>AVX/KUMATEC Hydrogen_x000D_GmbH &amp; Co. KG</t>
        </is>
      </c>
      <c r="B32" t="inlineStr">
        <is>
          <t>PEM-40-100</t>
        </is>
      </c>
      <c r="C32" t="inlineStr">
        <is>
          <t>PEM</t>
        </is>
      </c>
      <c r="D32" t="n">
        <v>10</v>
      </c>
      <c r="E32" t="n">
        <v>100</v>
      </c>
      <c r="F32" t="n">
        <v>110</v>
      </c>
      <c r="G32" t="n">
        <v>400</v>
      </c>
      <c r="H32" t="inlineStr">
        <is>
          <t>AC</t>
        </is>
      </c>
      <c r="I32" s="17" t="n">
        <v>0.1363636363636364</v>
      </c>
      <c r="J32" t="n">
        <v>1</v>
      </c>
      <c r="K32" t="inlineStr">
        <is>
          <t>Yes</t>
        </is>
      </c>
      <c r="L32" t="n">
        <v>8410</v>
      </c>
      <c r="M32" t="n">
        <v>-20</v>
      </c>
      <c r="N32" t="n">
        <v>40</v>
      </c>
      <c r="O32" t="n">
        <v>4.67</v>
      </c>
      <c r="P32" s="18">
        <f>((1000*O32)/0.08924)/1000</f>
        <v/>
      </c>
      <c r="Q32" s="18" t="n"/>
      <c r="R32" s="19" t="n"/>
      <c r="T32" t="n">
        <v>64.2</v>
      </c>
      <c r="V32" t="n">
        <v>5</v>
      </c>
      <c r="W32" t="n">
        <v>70</v>
      </c>
      <c r="X32" t="n">
        <v>1</v>
      </c>
      <c r="Y32" t="n">
        <v>80000</v>
      </c>
      <c r="AA32" t="n">
        <v>3.5</v>
      </c>
      <c r="AB32" t="n">
        <v>40</v>
      </c>
      <c r="AC32" t="n">
        <v>1.8</v>
      </c>
      <c r="AD32" t="n">
        <v>20</v>
      </c>
      <c r="AE32" t="inlineStr">
        <is>
          <t>Yes</t>
        </is>
      </c>
    </row>
    <row r="33">
      <c r="A33" t="inlineStr">
        <is>
          <t>Hydrogenics_x000D_(Cummins Inc.)*</t>
        </is>
      </c>
      <c r="B33" t="inlineStr">
        <is>
          <t>HySTAT 10</t>
        </is>
      </c>
      <c r="C33" t="inlineStr">
        <is>
          <t>AEC</t>
        </is>
      </c>
      <c r="D33" t="n">
        <v>46</v>
      </c>
      <c r="F33" t="n">
        <v>115</v>
      </c>
      <c r="H33" t="inlineStr">
        <is>
          <t>AC</t>
        </is>
      </c>
      <c r="I33" s="17" t="n">
        <v>0.4695652173913044</v>
      </c>
      <c r="K33" t="inlineStr">
        <is>
          <t>Yes</t>
        </is>
      </c>
      <c r="M33" t="n">
        <v>-20</v>
      </c>
      <c r="N33" t="n">
        <v>40</v>
      </c>
      <c r="O33" t="n">
        <v>4.9</v>
      </c>
      <c r="P33" s="18">
        <f>((1000*O33)/0.08924)/1000</f>
        <v/>
      </c>
      <c r="Q33" s="18" t="n"/>
      <c r="R33" s="19" t="n"/>
      <c r="AA33" t="n">
        <v>4.8</v>
      </c>
      <c r="AB33" t="n">
        <v>10</v>
      </c>
      <c r="AC33" t="n">
        <v>0.88</v>
      </c>
      <c r="AD33" t="n">
        <v>9.699999999999999</v>
      </c>
      <c r="AE33" t="inlineStr">
        <is>
          <t>Yes</t>
        </is>
      </c>
    </row>
    <row r="34">
      <c r="A34" t="inlineStr">
        <is>
          <t>Kyros Hydrogen_x000D_Solutions GmbH</t>
        </is>
      </c>
      <c r="B34" t="inlineStr">
        <is>
          <t>Kyros_x000D_Electrolyzer 100</t>
        </is>
      </c>
      <c r="C34" t="inlineStr">
        <is>
          <t>PEM</t>
        </is>
      </c>
      <c r="D34" t="n">
        <v>20</v>
      </c>
      <c r="E34" t="n">
        <v>100</v>
      </c>
      <c r="F34" t="n">
        <v>120</v>
      </c>
      <c r="G34" t="n">
        <v>400</v>
      </c>
      <c r="H34" t="inlineStr">
        <is>
          <t>AC/_x000D_DC</t>
        </is>
      </c>
      <c r="I34" s="17" t="n">
        <v>0.05833333333333333</v>
      </c>
      <c r="J34" t="n">
        <v>15</v>
      </c>
      <c r="K34" t="inlineStr">
        <is>
          <t>Yes</t>
        </is>
      </c>
      <c r="L34" t="n">
        <v>8650</v>
      </c>
      <c r="M34" t="n">
        <v>-40</v>
      </c>
      <c r="N34" t="n">
        <v>35</v>
      </c>
      <c r="O34" t="n">
        <v>4.8</v>
      </c>
      <c r="P34" s="18">
        <f>((1000*O34)/0.08924)/1000</f>
        <v/>
      </c>
      <c r="Q34" s="18" t="n"/>
      <c r="R34" s="19" t="n">
        <v>0.1666666666666667</v>
      </c>
      <c r="S34" t="n">
        <v>62</v>
      </c>
      <c r="T34" t="n">
        <v>62.5</v>
      </c>
      <c r="V34" t="n">
        <v>25</v>
      </c>
      <c r="W34" t="n">
        <v>75</v>
      </c>
      <c r="X34" t="n">
        <v>0.1</v>
      </c>
      <c r="Y34" t="n">
        <v>80000</v>
      </c>
      <c r="Z34" t="n">
        <v>8600</v>
      </c>
      <c r="AA34" t="n">
        <v>3.8</v>
      </c>
      <c r="AB34" t="n">
        <v>40</v>
      </c>
      <c r="AC34" t="n">
        <v>1.78</v>
      </c>
      <c r="AD34" t="n">
        <v>19.8</v>
      </c>
      <c r="AE34" t="inlineStr">
        <is>
          <t>Yes</t>
        </is>
      </c>
      <c r="AF34" t="n">
        <v>5</v>
      </c>
      <c r="AG34" t="n">
        <v>40</v>
      </c>
    </row>
    <row r="35">
      <c r="A35" t="inlineStr">
        <is>
          <t>Hoeller Electrolyzer_x000D_GmbH</t>
        </is>
      </c>
      <c r="B35" t="inlineStr">
        <is>
          <t>Prometheus S_x000D_Stack</t>
        </is>
      </c>
      <c r="C35" t="inlineStr">
        <is>
          <t>PEM</t>
        </is>
      </c>
      <c r="D35" t="n">
        <v>21</v>
      </c>
      <c r="E35" t="n">
        <v>100</v>
      </c>
      <c r="F35" t="n">
        <v>120</v>
      </c>
      <c r="G35" t="n">
        <v>300</v>
      </c>
      <c r="H35" t="inlineStr">
        <is>
          <t>DC</t>
        </is>
      </c>
      <c r="I35" s="17" t="n"/>
      <c r="J35" t="n">
        <v>10</v>
      </c>
      <c r="K35" t="inlineStr">
        <is>
          <t>Yes</t>
        </is>
      </c>
      <c r="O35" t="n">
        <v>4.83</v>
      </c>
      <c r="P35" s="18">
        <f>((1000*O35)/0.08924)/1000</f>
        <v/>
      </c>
      <c r="Q35" s="18" t="n"/>
      <c r="R35" s="19" t="n"/>
      <c r="T35" t="n">
        <v>62.1</v>
      </c>
      <c r="V35" t="n">
        <v>5</v>
      </c>
      <c r="W35" t="n">
        <v>80</v>
      </c>
      <c r="X35" t="n">
        <v>0.1</v>
      </c>
      <c r="Y35" t="n">
        <v>80000</v>
      </c>
      <c r="AA35" t="n">
        <v>5.5</v>
      </c>
      <c r="AB35" t="n">
        <v>40</v>
      </c>
      <c r="AC35" t="n">
        <v>1.9</v>
      </c>
      <c r="AD35" t="n">
        <v>21.1</v>
      </c>
      <c r="AE35" t="inlineStr">
        <is>
          <t>Optional</t>
        </is>
      </c>
    </row>
    <row r="36">
      <c r="A36" t="inlineStr">
        <is>
          <t>Hydrogenics_x000D_(Cummins Inc.)*</t>
        </is>
      </c>
      <c r="B36" t="inlineStr">
        <is>
          <t>HySTAT 15</t>
        </is>
      </c>
      <c r="C36" t="inlineStr">
        <is>
          <t>AEC</t>
        </is>
      </c>
      <c r="D36" t="n">
        <v>62</v>
      </c>
      <c r="F36" t="n">
        <v>155</v>
      </c>
      <c r="H36" t="inlineStr">
        <is>
          <t>AC</t>
        </is>
      </c>
      <c r="I36" s="17" t="n">
        <v>0.3483870967741935</v>
      </c>
      <c r="K36" t="inlineStr">
        <is>
          <t>Yes</t>
        </is>
      </c>
      <c r="M36" t="n">
        <v>-20</v>
      </c>
      <c r="N36" t="n">
        <v>40</v>
      </c>
      <c r="O36" t="n">
        <v>4.9</v>
      </c>
      <c r="P36" s="18">
        <f>((1000*O36)/0.08924)/1000</f>
        <v/>
      </c>
      <c r="Q36" s="18" t="n"/>
      <c r="R36" s="19" t="n"/>
      <c r="AA36" t="n">
        <v>4.8</v>
      </c>
      <c r="AB36" t="n">
        <v>10</v>
      </c>
      <c r="AC36" t="n">
        <v>1.33</v>
      </c>
      <c r="AD36" t="n">
        <v>14.8</v>
      </c>
      <c r="AE36" t="inlineStr">
        <is>
          <t>Yes</t>
        </is>
      </c>
    </row>
    <row r="37">
      <c r="A37" t="inlineStr">
        <is>
          <t>H2 Core Systems GmbH</t>
        </is>
      </c>
      <c r="B37" t="inlineStr">
        <is>
          <t>HydroCab_x000D_Indoor 36.0_x000D_Nm3/h</t>
        </is>
      </c>
      <c r="C37" t="inlineStr">
        <is>
          <t>AEC</t>
        </is>
      </c>
      <c r="D37" t="n">
        <v>1</v>
      </c>
      <c r="E37" t="n">
        <v>173</v>
      </c>
      <c r="F37" t="n">
        <v>173</v>
      </c>
      <c r="G37" t="n">
        <v>400</v>
      </c>
      <c r="H37" t="inlineStr">
        <is>
          <t>AC/_x000D_DC</t>
        </is>
      </c>
      <c r="I37" s="17" t="n">
        <v>0.09248554913294797</v>
      </c>
      <c r="J37" t="n">
        <v>3</v>
      </c>
      <c r="K37" t="inlineStr">
        <is>
          <t>Optional</t>
        </is>
      </c>
      <c r="L37" t="n">
        <v>8700</v>
      </c>
      <c r="M37" t="n">
        <v>5</v>
      </c>
      <c r="N37" t="n">
        <v>45</v>
      </c>
      <c r="O37" t="n">
        <v>4.8</v>
      </c>
      <c r="P37" s="18">
        <f>((1000*O37)/0.08924)/1000</f>
        <v/>
      </c>
      <c r="Q37" s="18" t="n"/>
      <c r="R37" s="19" t="n">
        <v>0.2485549132947977</v>
      </c>
      <c r="T37" t="n">
        <v>62.5</v>
      </c>
      <c r="U37" t="n">
        <v>92.5</v>
      </c>
      <c r="V37" t="n">
        <v>20</v>
      </c>
      <c r="W37" t="n">
        <v>55</v>
      </c>
      <c r="X37" t="n">
        <v>2</v>
      </c>
      <c r="Y37" t="n">
        <v>35000</v>
      </c>
      <c r="Z37" t="n">
        <v>8760</v>
      </c>
      <c r="AA37" t="n">
        <v>3</v>
      </c>
      <c r="AB37" t="n">
        <v>35</v>
      </c>
      <c r="AC37" t="n">
        <v>3.2</v>
      </c>
      <c r="AD37" t="n">
        <v>35.6</v>
      </c>
      <c r="AE37" t="inlineStr">
        <is>
          <t>Optional</t>
        </is>
      </c>
      <c r="AF37" t="n">
        <v>5</v>
      </c>
      <c r="AG37" t="n">
        <v>35</v>
      </c>
    </row>
    <row r="38">
      <c r="A38" t="inlineStr">
        <is>
          <t>H2 Core Systems GmbH</t>
        </is>
      </c>
      <c r="B38" t="inlineStr">
        <is>
          <t>HydroCab_x000D_Outdoor 36.0_x000D_Nm3/h</t>
        </is>
      </c>
      <c r="C38" t="inlineStr">
        <is>
          <t>AEC</t>
        </is>
      </c>
      <c r="D38" t="n">
        <v>1</v>
      </c>
      <c r="E38" t="n">
        <v>173</v>
      </c>
      <c r="F38" t="n">
        <v>173</v>
      </c>
      <c r="G38" t="n">
        <v>400</v>
      </c>
      <c r="H38" t="inlineStr">
        <is>
          <t>AC/_x000D_DC</t>
        </is>
      </c>
      <c r="I38" s="17" t="n">
        <v>0.09248554913294797</v>
      </c>
      <c r="J38" t="n">
        <v>3</v>
      </c>
      <c r="K38" t="inlineStr">
        <is>
          <t>Optional</t>
        </is>
      </c>
      <c r="L38" t="n">
        <v>8700</v>
      </c>
      <c r="M38" t="n">
        <v>-25</v>
      </c>
      <c r="N38" t="n">
        <v>40</v>
      </c>
      <c r="O38" t="n">
        <v>4.8</v>
      </c>
      <c r="P38" s="18">
        <f>((1000*O38)/0.08924)/1000</f>
        <v/>
      </c>
      <c r="Q38" s="18" t="n"/>
      <c r="R38" s="19" t="n">
        <v>0.2485549132947977</v>
      </c>
      <c r="T38" t="n">
        <v>62.5</v>
      </c>
      <c r="U38" t="n">
        <v>92.5</v>
      </c>
      <c r="V38" t="n">
        <v>20</v>
      </c>
      <c r="W38" t="n">
        <v>55</v>
      </c>
      <c r="X38" t="n">
        <v>2</v>
      </c>
      <c r="Y38" t="n">
        <v>35000</v>
      </c>
      <c r="Z38" t="n">
        <v>8760</v>
      </c>
      <c r="AA38" t="n">
        <v>3</v>
      </c>
      <c r="AB38" t="n">
        <v>35</v>
      </c>
      <c r="AC38" t="n">
        <v>3.2</v>
      </c>
      <c r="AD38" t="n">
        <v>35.6</v>
      </c>
      <c r="AE38" t="inlineStr">
        <is>
          <t>Optional</t>
        </is>
      </c>
      <c r="AF38" t="n">
        <v>5</v>
      </c>
      <c r="AG38" t="n">
        <v>35</v>
      </c>
    </row>
    <row r="39">
      <c r="A39" t="inlineStr">
        <is>
          <t>Kyros Hydrogen_x000D_Solutions GmbH</t>
        </is>
      </c>
      <c r="B39" t="inlineStr">
        <is>
          <t>Kyros_x000D_Electrolyzer 150</t>
        </is>
      </c>
      <c r="C39" t="inlineStr">
        <is>
          <t>PEM</t>
        </is>
      </c>
      <c r="D39" t="n">
        <v>30</v>
      </c>
      <c r="E39" t="n">
        <v>150</v>
      </c>
      <c r="F39" t="n">
        <v>180</v>
      </c>
      <c r="G39" t="n">
        <v>400</v>
      </c>
      <c r="H39" t="inlineStr">
        <is>
          <t>AC/_x000D_DC</t>
        </is>
      </c>
      <c r="I39" s="17" t="n">
        <v>0.1555555555555556</v>
      </c>
      <c r="J39" t="n">
        <v>15</v>
      </c>
      <c r="K39" t="inlineStr">
        <is>
          <t>Yes</t>
        </is>
      </c>
      <c r="L39" t="n">
        <v>8650</v>
      </c>
      <c r="M39" t="n">
        <v>-40</v>
      </c>
      <c r="N39" t="n">
        <v>35</v>
      </c>
      <c r="O39" t="n">
        <v>4.8</v>
      </c>
      <c r="P39" s="18">
        <f>((1000*O39)/0.08924)/1000</f>
        <v/>
      </c>
      <c r="Q39" s="18" t="n"/>
      <c r="R39" s="19" t="n">
        <v>0.1666666666666667</v>
      </c>
      <c r="S39" t="n">
        <v>62</v>
      </c>
      <c r="T39" t="n">
        <v>62.5</v>
      </c>
      <c r="V39" t="n">
        <v>25</v>
      </c>
      <c r="W39" t="n">
        <v>75</v>
      </c>
      <c r="X39" t="n">
        <v>0.1</v>
      </c>
      <c r="Y39" t="n">
        <v>80000</v>
      </c>
      <c r="Z39" t="n">
        <v>8600</v>
      </c>
      <c r="AA39" t="n">
        <v>3.8</v>
      </c>
      <c r="AB39" t="n">
        <v>40</v>
      </c>
      <c r="AC39" t="n">
        <v>2.67</v>
      </c>
      <c r="AD39" t="n">
        <v>29.7</v>
      </c>
      <c r="AE39" t="inlineStr">
        <is>
          <t>Yes</t>
        </is>
      </c>
      <c r="AF39" t="n">
        <v>5</v>
      </c>
      <c r="AG39" t="n">
        <v>40</v>
      </c>
    </row>
    <row r="40">
      <c r="A40" t="inlineStr">
        <is>
          <t>iph Hähn Gmbh</t>
        </is>
      </c>
      <c r="B40" t="inlineStr">
        <is>
          <t>EL40</t>
        </is>
      </c>
      <c r="C40" t="inlineStr">
        <is>
          <t>PEM</t>
        </is>
      </c>
      <c r="D40" t="n">
        <v>24</v>
      </c>
      <c r="E40" t="n">
        <v>200</v>
      </c>
      <c r="F40" t="n">
        <v>210</v>
      </c>
      <c r="G40" t="n">
        <v>400</v>
      </c>
      <c r="H40" t="inlineStr">
        <is>
          <t>AC</t>
        </is>
      </c>
      <c r="I40" s="17" t="n">
        <v>0.06666666666666667</v>
      </c>
      <c r="J40" t="n">
        <v>40</v>
      </c>
      <c r="K40" t="inlineStr">
        <is>
          <t>Optional</t>
        </is>
      </c>
      <c r="L40" t="n">
        <v>8600</v>
      </c>
      <c r="M40" t="n">
        <v>5</v>
      </c>
      <c r="N40" t="n">
        <v>45</v>
      </c>
      <c r="R40" s="19" t="n"/>
      <c r="AB40" t="n">
        <v>30</v>
      </c>
      <c r="AC40" t="n">
        <v>3.5</v>
      </c>
      <c r="AD40" t="n">
        <v>38.9</v>
      </c>
      <c r="AE40" t="inlineStr">
        <is>
          <t>Optional</t>
        </is>
      </c>
    </row>
    <row r="41">
      <c r="A41" t="inlineStr">
        <is>
          <t>Kyros Hydrogen_x000D_Solutions GmbH</t>
        </is>
      </c>
      <c r="B41" t="inlineStr">
        <is>
          <t>Kyros_x000D_Electrolyzer 200</t>
        </is>
      </c>
      <c r="C41" t="inlineStr">
        <is>
          <t>PEM</t>
        </is>
      </c>
      <c r="D41" t="n">
        <v>20</v>
      </c>
      <c r="E41" t="n">
        <v>200</v>
      </c>
      <c r="F41" t="n">
        <v>240</v>
      </c>
      <c r="G41" t="n">
        <v>400</v>
      </c>
      <c r="H41" t="inlineStr">
        <is>
          <t>AC/_x000D_DC</t>
        </is>
      </c>
      <c r="I41" s="17" t="n">
        <v>0.05833333333333333</v>
      </c>
      <c r="J41" t="n">
        <v>15</v>
      </c>
      <c r="K41" t="inlineStr">
        <is>
          <t>Optional</t>
        </is>
      </c>
      <c r="L41" t="n">
        <v>8650</v>
      </c>
      <c r="M41" t="n">
        <v>-40</v>
      </c>
      <c r="N41" t="n">
        <v>35</v>
      </c>
      <c r="O41" t="n">
        <v>4.8</v>
      </c>
      <c r="P41" s="18">
        <f>((1000*O41)/0.08924)/1000</f>
        <v/>
      </c>
      <c r="Q41" s="18" t="n"/>
      <c r="R41" s="19" t="n">
        <v>0.1666666666666667</v>
      </c>
      <c r="S41" t="n">
        <v>62</v>
      </c>
      <c r="T41" t="n">
        <v>62.5</v>
      </c>
      <c r="V41" t="n">
        <v>25</v>
      </c>
      <c r="W41" t="n">
        <v>75</v>
      </c>
      <c r="X41" t="n">
        <v>0.1</v>
      </c>
      <c r="Y41" t="n">
        <v>80000</v>
      </c>
      <c r="Z41" t="n">
        <v>8600</v>
      </c>
      <c r="AA41" t="n">
        <v>3.8</v>
      </c>
      <c r="AB41" t="n">
        <v>40</v>
      </c>
      <c r="AC41" t="n">
        <v>3.56</v>
      </c>
      <c r="AD41" t="n">
        <v>39.6</v>
      </c>
      <c r="AE41" t="inlineStr">
        <is>
          <t>Yes</t>
        </is>
      </c>
      <c r="AF41" t="n">
        <v>5</v>
      </c>
      <c r="AG41" t="n">
        <v>40</v>
      </c>
    </row>
    <row r="42">
      <c r="A42" t="inlineStr">
        <is>
          <t>Hydrogenics</t>
        </is>
      </c>
      <c r="B42" t="inlineStr">
        <is>
          <t>HySTAT 30</t>
        </is>
      </c>
      <c r="C42" t="inlineStr">
        <is>
          <t>AEC</t>
        </is>
      </c>
      <c r="D42" t="n">
        <v>110</v>
      </c>
      <c r="F42" t="n">
        <v>275</v>
      </c>
      <c r="H42" t="inlineStr">
        <is>
          <t>AC</t>
        </is>
      </c>
      <c r="I42" s="17" t="n">
        <v>0.1963636363636364</v>
      </c>
      <c r="K42" t="inlineStr">
        <is>
          <t>Yes</t>
        </is>
      </c>
      <c r="M42" t="n">
        <v>-20</v>
      </c>
      <c r="N42" t="n">
        <v>40</v>
      </c>
      <c r="R42" s="19" t="n"/>
      <c r="AA42" t="n">
        <v>4.8</v>
      </c>
      <c r="AB42" t="n">
        <v>10</v>
      </c>
      <c r="AC42" t="n">
        <v>2.67</v>
      </c>
      <c r="AD42" t="n">
        <v>29.6</v>
      </c>
      <c r="AE42" t="inlineStr">
        <is>
          <t>Yes</t>
        </is>
      </c>
    </row>
    <row r="43">
      <c r="A43" t="inlineStr">
        <is>
          <t>H-TEC SYSTEMS GmbH</t>
        </is>
      </c>
      <c r="B43" t="inlineStr">
        <is>
          <t>ME100/350</t>
        </is>
      </c>
      <c r="C43" t="inlineStr">
        <is>
          <t>PEM</t>
        </is>
      </c>
      <c r="D43" t="n">
        <v>40</v>
      </c>
      <c r="E43" t="n">
        <v>225</v>
      </c>
      <c r="F43" t="n">
        <v>330</v>
      </c>
      <c r="G43" t="n">
        <v>400</v>
      </c>
      <c r="H43" t="inlineStr">
        <is>
          <t>AC</t>
        </is>
      </c>
      <c r="I43" s="17" t="n">
        <v>0.04242424242424243</v>
      </c>
      <c r="J43" t="n">
        <v>30</v>
      </c>
      <c r="K43" t="inlineStr">
        <is>
          <t>Yes</t>
        </is>
      </c>
      <c r="L43" t="n">
        <v>8322</v>
      </c>
      <c r="M43" t="n">
        <v>-15</v>
      </c>
      <c r="N43" t="n">
        <v>30</v>
      </c>
      <c r="R43" s="19" t="n"/>
      <c r="X43" t="n">
        <v>0.1</v>
      </c>
      <c r="AA43" t="n">
        <v>5</v>
      </c>
      <c r="AB43" t="n">
        <v>30</v>
      </c>
      <c r="AC43" t="n">
        <v>4.23</v>
      </c>
      <c r="AD43" t="n">
        <v>47</v>
      </c>
      <c r="AE43" t="inlineStr">
        <is>
          <t>Yes</t>
        </is>
      </c>
    </row>
    <row r="44">
      <c r="A44" t="inlineStr">
        <is>
          <t>Kyros Hydrogen_x000D_Solutions GmbH</t>
        </is>
      </c>
      <c r="B44" t="inlineStr">
        <is>
          <t>Kyros_x000D_Electrolyzer 300</t>
        </is>
      </c>
      <c r="C44" t="inlineStr">
        <is>
          <t>PEM</t>
        </is>
      </c>
      <c r="D44" t="n">
        <v>30</v>
      </c>
      <c r="E44" t="n">
        <v>300</v>
      </c>
      <c r="F44" t="n">
        <v>360</v>
      </c>
      <c r="G44" t="n">
        <v>400</v>
      </c>
      <c r="H44" t="inlineStr">
        <is>
          <t>AC/_x000D_DC</t>
        </is>
      </c>
      <c r="I44" s="17" t="n">
        <v>0.03888888888888889</v>
      </c>
      <c r="J44" t="n">
        <v>15</v>
      </c>
      <c r="K44" t="inlineStr">
        <is>
          <t>Yes</t>
        </is>
      </c>
      <c r="L44" t="n">
        <v>8650</v>
      </c>
      <c r="M44" t="n">
        <v>-40</v>
      </c>
      <c r="N44" t="n">
        <v>35</v>
      </c>
      <c r="O44" t="n">
        <v>4.8</v>
      </c>
      <c r="P44" s="18">
        <f>((1000*O44)/0.08924)/1000</f>
        <v/>
      </c>
      <c r="Q44" s="18" t="n"/>
      <c r="R44" s="19" t="n">
        <v>0.1666666666666667</v>
      </c>
      <c r="S44" t="n">
        <v>62</v>
      </c>
      <c r="T44" t="n">
        <v>62.5</v>
      </c>
      <c r="V44" t="n">
        <v>25</v>
      </c>
      <c r="W44" t="n">
        <v>75</v>
      </c>
      <c r="X44" t="n">
        <v>0.1</v>
      </c>
      <c r="Y44" t="n">
        <v>80000</v>
      </c>
      <c r="Z44" t="n">
        <v>8600</v>
      </c>
      <c r="AA44" t="n">
        <v>3.8</v>
      </c>
      <c r="AB44" t="n">
        <v>40</v>
      </c>
      <c r="AC44" t="n">
        <v>5.34</v>
      </c>
      <c r="AD44" t="n">
        <v>59.3</v>
      </c>
      <c r="AE44" t="inlineStr">
        <is>
          <t>Yes</t>
        </is>
      </c>
      <c r="AF44" t="n">
        <v>5</v>
      </c>
      <c r="AG44" t="n">
        <v>40</v>
      </c>
    </row>
    <row r="45">
      <c r="A45" t="inlineStr">
        <is>
          <t>iph Hähn Gmbh</t>
        </is>
      </c>
      <c r="B45" t="inlineStr">
        <is>
          <t>EL80</t>
        </is>
      </c>
      <c r="C45" t="inlineStr">
        <is>
          <t>PEM</t>
        </is>
      </c>
      <c r="D45" t="n">
        <v>48</v>
      </c>
      <c r="E45" t="n">
        <v>400</v>
      </c>
      <c r="F45" t="n">
        <v>420</v>
      </c>
      <c r="G45" t="n">
        <v>400</v>
      </c>
      <c r="H45" t="inlineStr">
        <is>
          <t>AC</t>
        </is>
      </c>
      <c r="I45" s="17" t="n">
        <v>0.06428571428571428</v>
      </c>
      <c r="J45" t="n">
        <v>40</v>
      </c>
      <c r="K45" t="inlineStr">
        <is>
          <t>Optional</t>
        </is>
      </c>
      <c r="L45" t="n">
        <v>8600</v>
      </c>
      <c r="M45" t="n">
        <v>5</v>
      </c>
      <c r="N45" t="n">
        <v>45</v>
      </c>
      <c r="R45" s="19" t="n"/>
      <c r="AB45" t="n">
        <v>30</v>
      </c>
      <c r="AC45" t="n">
        <v>7</v>
      </c>
      <c r="AD45" t="n">
        <v>77.8</v>
      </c>
      <c r="AE45" t="inlineStr">
        <is>
          <t>Optional</t>
        </is>
      </c>
    </row>
    <row r="46">
      <c r="A46" t="inlineStr">
        <is>
          <t>McPhy Energy S.A.</t>
        </is>
      </c>
      <c r="B46" t="inlineStr">
        <is>
          <t>McLyzer 100-30</t>
        </is>
      </c>
      <c r="C46" t="inlineStr">
        <is>
          <t>AEC</t>
        </is>
      </c>
      <c r="F46" t="n">
        <v>500</v>
      </c>
      <c r="H46" t="inlineStr">
        <is>
          <t>DC</t>
        </is>
      </c>
      <c r="I46" s="17" t="n"/>
      <c r="O46" t="n">
        <v>4.5</v>
      </c>
      <c r="P46" s="18">
        <f>((1000*O46)/0.08924)/1000</f>
        <v/>
      </c>
      <c r="Q46" s="18" t="n"/>
      <c r="R46" s="19" t="n"/>
      <c r="T46" t="n">
        <v>66.7</v>
      </c>
      <c r="AB46" t="n">
        <v>30</v>
      </c>
      <c r="AC46" t="n">
        <v>9</v>
      </c>
      <c r="AD46" t="n">
        <v>100</v>
      </c>
    </row>
    <row r="47">
      <c r="A47" t="inlineStr">
        <is>
          <t>H2 Core Systems GmbH</t>
        </is>
      </c>
      <c r="B47" t="inlineStr">
        <is>
          <t>Multicore MC_x000D_225/450</t>
        </is>
      </c>
      <c r="C47" t="inlineStr">
        <is>
          <t>AEC</t>
        </is>
      </c>
      <c r="D47" t="n">
        <v>15</v>
      </c>
      <c r="E47" t="n">
        <v>504</v>
      </c>
      <c r="F47" t="n">
        <v>504</v>
      </c>
      <c r="G47" t="n">
        <v>400</v>
      </c>
      <c r="H47" t="inlineStr">
        <is>
          <t>AC</t>
        </is>
      </c>
      <c r="I47" s="17" t="n"/>
      <c r="K47" t="inlineStr">
        <is>
          <t>Yes</t>
        </is>
      </c>
      <c r="M47" t="n">
        <v>-15</v>
      </c>
      <c r="N47" t="n">
        <v>45</v>
      </c>
      <c r="O47" t="n">
        <v>4.8</v>
      </c>
      <c r="P47" s="18">
        <f>((1000*O47)/0.08924)/1000</f>
        <v/>
      </c>
      <c r="Q47" s="18" t="n"/>
      <c r="R47" s="19" t="n">
        <v>0.3273809523809524</v>
      </c>
      <c r="T47" t="n">
        <v>62.5</v>
      </c>
      <c r="V47" t="n">
        <v>20</v>
      </c>
      <c r="W47" t="n">
        <v>55</v>
      </c>
      <c r="X47" t="n">
        <v>5</v>
      </c>
      <c r="Y47" t="n">
        <v>35000</v>
      </c>
      <c r="AA47" t="n">
        <v>3</v>
      </c>
      <c r="AB47" t="n">
        <v>35</v>
      </c>
      <c r="AC47" t="n">
        <v>9.300000000000001</v>
      </c>
      <c r="AD47" t="n">
        <v>103.3</v>
      </c>
      <c r="AE47" t="inlineStr">
        <is>
          <t>Optional</t>
        </is>
      </c>
      <c r="AF47" t="n">
        <v>5</v>
      </c>
      <c r="AG47" t="n">
        <v>35</v>
      </c>
    </row>
    <row r="48">
      <c r="A48" t="inlineStr">
        <is>
          <t>Kyros Hydrogen_x000D_Solutions GmbH</t>
        </is>
      </c>
      <c r="B48" t="inlineStr">
        <is>
          <t>Kyros_x000D_Electrolyzer 450</t>
        </is>
      </c>
      <c r="C48" t="inlineStr">
        <is>
          <t>PEM</t>
        </is>
      </c>
      <c r="D48" t="n">
        <v>45</v>
      </c>
      <c r="E48" t="n">
        <v>450</v>
      </c>
      <c r="F48" t="n">
        <v>540</v>
      </c>
      <c r="G48" t="n">
        <v>400</v>
      </c>
      <c r="H48" t="inlineStr">
        <is>
          <t>AC/_x000D_DC</t>
        </is>
      </c>
      <c r="I48" s="17" t="n">
        <v>0.02592592592592593</v>
      </c>
      <c r="J48" t="n">
        <v>15</v>
      </c>
      <c r="K48" t="inlineStr">
        <is>
          <t>Yes</t>
        </is>
      </c>
      <c r="L48" t="n">
        <v>8650</v>
      </c>
      <c r="M48" t="n">
        <v>-40</v>
      </c>
      <c r="N48" t="n">
        <v>35</v>
      </c>
      <c r="O48" t="n">
        <v>4.8</v>
      </c>
      <c r="P48" s="18">
        <f>((1000*O48)/0.08924)/1000</f>
        <v/>
      </c>
      <c r="Q48" s="18" t="n"/>
      <c r="R48" s="19" t="n">
        <v>0.1666666666666667</v>
      </c>
      <c r="S48" t="n">
        <v>62</v>
      </c>
      <c r="T48" t="n">
        <v>62.5</v>
      </c>
      <c r="V48" t="n">
        <v>25</v>
      </c>
      <c r="W48" t="n">
        <v>75</v>
      </c>
      <c r="X48" t="n">
        <v>0.1</v>
      </c>
      <c r="Y48" t="n">
        <v>80000</v>
      </c>
      <c r="Z48" t="n">
        <v>8600</v>
      </c>
      <c r="AA48" t="n">
        <v>3.8</v>
      </c>
      <c r="AB48" t="n">
        <v>40</v>
      </c>
      <c r="AC48" t="n">
        <v>8.01</v>
      </c>
      <c r="AD48" t="n">
        <v>89</v>
      </c>
      <c r="AE48" t="inlineStr">
        <is>
          <t>Yes</t>
        </is>
      </c>
      <c r="AF48" t="n">
        <v>5</v>
      </c>
      <c r="AG48" t="n">
        <v>40</v>
      </c>
    </row>
    <row r="49">
      <c r="A49" t="inlineStr">
        <is>
          <t>Hydrogenics_x000D_(Cummins Inc.)*</t>
        </is>
      </c>
      <c r="B49" t="inlineStr">
        <is>
          <t>HySTAT 60</t>
        </is>
      </c>
      <c r="C49" t="inlineStr">
        <is>
          <t>AEC</t>
        </is>
      </c>
      <c r="D49" t="n">
        <v>220</v>
      </c>
      <c r="F49" t="n">
        <v>550</v>
      </c>
      <c r="H49" t="inlineStr">
        <is>
          <t>AC</t>
        </is>
      </c>
      <c r="I49" s="17" t="n">
        <v>0.1618181818181818</v>
      </c>
      <c r="K49" t="inlineStr">
        <is>
          <t>Yes</t>
        </is>
      </c>
      <c r="M49" t="n">
        <v>-20</v>
      </c>
      <c r="N49" t="n">
        <v>40</v>
      </c>
      <c r="O49" t="n">
        <v>5.2</v>
      </c>
      <c r="P49" s="18">
        <f>((1000*O49)/0.08924)/1000</f>
        <v/>
      </c>
      <c r="Q49" s="18" t="n"/>
      <c r="R49" s="19" t="n"/>
      <c r="AA49" t="n">
        <v>4.8</v>
      </c>
      <c r="AB49" t="n">
        <v>10</v>
      </c>
      <c r="AC49" t="n">
        <v>5.42</v>
      </c>
      <c r="AD49" t="n">
        <v>60.2</v>
      </c>
      <c r="AE49" t="inlineStr">
        <is>
          <t>Yes</t>
        </is>
      </c>
    </row>
    <row r="50">
      <c r="A50" t="inlineStr">
        <is>
          <t>Hydrogenics</t>
        </is>
      </c>
      <c r="B50" t="inlineStr">
        <is>
          <t>HySTAT 70</t>
        </is>
      </c>
      <c r="C50" t="inlineStr">
        <is>
          <t>AEC</t>
        </is>
      </c>
      <c r="D50" t="n">
        <v>270</v>
      </c>
      <c r="F50" t="n">
        <v>675</v>
      </c>
      <c r="H50" t="inlineStr">
        <is>
          <t>AC</t>
        </is>
      </c>
      <c r="I50" s="17" t="n">
        <v>0.1318518518518519</v>
      </c>
      <c r="K50" t="inlineStr">
        <is>
          <t>Yes</t>
        </is>
      </c>
      <c r="M50" t="n">
        <v>-20</v>
      </c>
      <c r="N50" t="n">
        <v>40</v>
      </c>
      <c r="R50" s="19" t="n"/>
      <c r="AA50" t="n">
        <v>4.8</v>
      </c>
      <c r="AB50" t="n">
        <v>10</v>
      </c>
      <c r="AC50" t="n">
        <v>6.67</v>
      </c>
      <c r="AD50" t="n">
        <v>74.09999999999999</v>
      </c>
      <c r="AE50" t="inlineStr">
        <is>
          <t>Yes</t>
        </is>
      </c>
    </row>
    <row r="51">
      <c r="A51" t="inlineStr">
        <is>
          <t>ITMPower</t>
        </is>
      </c>
      <c r="B51" t="inlineStr">
        <is>
          <t>HGAS1SP</t>
        </is>
      </c>
      <c r="C51" t="inlineStr">
        <is>
          <t>PEM</t>
        </is>
      </c>
      <c r="F51" t="n">
        <v>700</v>
      </c>
      <c r="G51" t="n">
        <v>400</v>
      </c>
      <c r="H51" t="inlineStr">
        <is>
          <t>AC</t>
        </is>
      </c>
      <c r="I51" s="17" t="n"/>
      <c r="J51" t="n">
        <v>1</v>
      </c>
      <c r="K51" t="inlineStr">
        <is>
          <t>Yes</t>
        </is>
      </c>
      <c r="R51" s="19" t="n"/>
      <c r="AA51" t="n">
        <v>5</v>
      </c>
      <c r="AB51" t="n">
        <v>20</v>
      </c>
      <c r="AC51" t="n">
        <v>11</v>
      </c>
      <c r="AD51" t="n">
        <v>122.2</v>
      </c>
      <c r="AE51" t="inlineStr">
        <is>
          <t>Yes</t>
        </is>
      </c>
    </row>
    <row r="52">
      <c r="A52" t="inlineStr">
        <is>
          <t>Kyros Hydrogen_x000D_Solutions GmbH</t>
        </is>
      </c>
      <c r="B52" t="inlineStr">
        <is>
          <t>Kyros_x000D_Electrolyzer 600</t>
        </is>
      </c>
      <c r="C52" t="inlineStr">
        <is>
          <t>PEM</t>
        </is>
      </c>
      <c r="D52" t="n">
        <v>60</v>
      </c>
      <c r="E52" t="n">
        <v>600</v>
      </c>
      <c r="F52" t="n">
        <v>720</v>
      </c>
      <c r="G52" t="n">
        <v>400</v>
      </c>
      <c r="H52" t="inlineStr">
        <is>
          <t>AC/_x000D_DC</t>
        </is>
      </c>
      <c r="I52" s="17" t="n">
        <v>0.01944444444444444</v>
      </c>
      <c r="J52" t="n">
        <v>15</v>
      </c>
      <c r="K52" t="inlineStr">
        <is>
          <t>Yes</t>
        </is>
      </c>
      <c r="L52" t="n">
        <v>8650</v>
      </c>
      <c r="M52" t="n">
        <v>-40</v>
      </c>
      <c r="N52" t="n">
        <v>35</v>
      </c>
      <c r="O52" t="n">
        <v>4.8</v>
      </c>
      <c r="P52" s="18">
        <f>((1000*O52)/0.08924)/1000</f>
        <v/>
      </c>
      <c r="Q52" s="18" t="n"/>
      <c r="R52" s="19" t="n">
        <v>0.1666666666666667</v>
      </c>
      <c r="S52" t="n">
        <v>62</v>
      </c>
      <c r="T52" t="n">
        <v>62.5</v>
      </c>
      <c r="V52" t="n">
        <v>25</v>
      </c>
      <c r="W52" t="n">
        <v>75</v>
      </c>
      <c r="X52" t="n">
        <v>0.1</v>
      </c>
      <c r="Y52" t="n">
        <v>80000</v>
      </c>
      <c r="Z52" t="n">
        <v>8600</v>
      </c>
      <c r="AA52" t="n">
        <v>3.8</v>
      </c>
      <c r="AB52" t="n">
        <v>40</v>
      </c>
      <c r="AC52" t="n">
        <v>10.68</v>
      </c>
      <c r="AD52" t="n">
        <v>118.7</v>
      </c>
      <c r="AE52" t="inlineStr">
        <is>
          <t>Yes</t>
        </is>
      </c>
      <c r="AF52" t="n">
        <v>5</v>
      </c>
      <c r="AG52" t="n">
        <v>40</v>
      </c>
    </row>
    <row r="53">
      <c r="A53" t="inlineStr">
        <is>
          <t>Hydrogenics_x000D_(Cummins Inc.)*</t>
        </is>
      </c>
      <c r="B53" t="inlineStr">
        <is>
          <t>HyLyzer 200</t>
        </is>
      </c>
      <c r="C53" t="inlineStr">
        <is>
          <t>PEM</t>
        </is>
      </c>
      <c r="D53" t="n">
        <v>40</v>
      </c>
      <c r="F53" t="n">
        <v>788</v>
      </c>
      <c r="H53" t="inlineStr">
        <is>
          <t>AC</t>
        </is>
      </c>
      <c r="I53" s="17" t="n">
        <v>0.2512690355329949</v>
      </c>
      <c r="K53" t="inlineStr">
        <is>
          <t>Yes</t>
        </is>
      </c>
      <c r="M53" t="n">
        <v>-20</v>
      </c>
      <c r="N53" t="n">
        <v>40</v>
      </c>
      <c r="O53" t="n">
        <v>3.95</v>
      </c>
      <c r="P53" s="18">
        <f>((1000*O53)/0.08924)/1000</f>
        <v/>
      </c>
      <c r="Q53" s="18" t="n"/>
      <c r="R53" s="19" t="n"/>
      <c r="T53" t="n">
        <v>75.90000000000001</v>
      </c>
      <c r="AA53" t="n">
        <v>4.8</v>
      </c>
      <c r="AB53" t="n">
        <v>30</v>
      </c>
      <c r="AC53" t="n">
        <v>17.96</v>
      </c>
      <c r="AD53" t="n">
        <v>199.5</v>
      </c>
      <c r="AE53" t="inlineStr">
        <is>
          <t>Yes</t>
        </is>
      </c>
    </row>
    <row r="54">
      <c r="A54" t="inlineStr">
        <is>
          <t>Hydrogenics</t>
        </is>
      </c>
      <c r="B54" t="inlineStr">
        <is>
          <t>HySTAT 100</t>
        </is>
      </c>
      <c r="C54" t="inlineStr">
        <is>
          <t>AEC</t>
        </is>
      </c>
      <c r="D54" t="n">
        <v>320</v>
      </c>
      <c r="F54" t="n">
        <v>800</v>
      </c>
      <c r="H54" t="inlineStr">
        <is>
          <t>AC</t>
        </is>
      </c>
      <c r="I54" s="17" t="n">
        <v>0.11125</v>
      </c>
      <c r="K54" t="inlineStr">
        <is>
          <t>Yes</t>
        </is>
      </c>
      <c r="M54" t="n">
        <v>-20</v>
      </c>
      <c r="N54" t="n">
        <v>40</v>
      </c>
      <c r="R54" s="19" t="n"/>
      <c r="AA54" t="n">
        <v>4.8</v>
      </c>
      <c r="AB54" t="n">
        <v>10</v>
      </c>
      <c r="AC54" t="n">
        <v>8.960000000000001</v>
      </c>
      <c r="AD54" t="n">
        <v>99.5</v>
      </c>
      <c r="AE54" t="inlineStr">
        <is>
          <t>Yes</t>
        </is>
      </c>
    </row>
    <row r="55">
      <c r="A55" t="inlineStr">
        <is>
          <t>Kyros Hydrogen_x000D_Solutions GmbH</t>
        </is>
      </c>
      <c r="B55" t="inlineStr">
        <is>
          <t>Kyros_x000D_Electrolyzer 750</t>
        </is>
      </c>
      <c r="C55" t="inlineStr">
        <is>
          <t>PEM</t>
        </is>
      </c>
      <c r="D55" t="n">
        <v>200</v>
      </c>
      <c r="E55" t="n">
        <v>750</v>
      </c>
      <c r="F55" t="n">
        <v>900</v>
      </c>
      <c r="G55" t="n">
        <v>400</v>
      </c>
      <c r="H55" t="inlineStr">
        <is>
          <t>AC/_x000D_DC</t>
        </is>
      </c>
      <c r="I55" s="17" t="n">
        <v>0.03111111111111111</v>
      </c>
      <c r="J55" t="n">
        <v>15</v>
      </c>
      <c r="K55" t="inlineStr">
        <is>
          <t>Yes</t>
        </is>
      </c>
      <c r="L55" t="n">
        <v>8650</v>
      </c>
      <c r="M55" t="n">
        <v>-40</v>
      </c>
      <c r="N55" t="n">
        <v>35</v>
      </c>
      <c r="O55" t="n">
        <v>4.8</v>
      </c>
      <c r="P55" s="18">
        <f>((1000*O55)/0.08924)/1000</f>
        <v/>
      </c>
      <c r="Q55" s="18" t="n"/>
      <c r="R55" s="19" t="n">
        <v>0.1666666666666667</v>
      </c>
      <c r="S55" t="n">
        <v>62</v>
      </c>
      <c r="T55" t="n">
        <v>62.5</v>
      </c>
      <c r="V55" t="n">
        <v>25</v>
      </c>
      <c r="W55" t="n">
        <v>75</v>
      </c>
      <c r="X55" t="n">
        <v>0.1</v>
      </c>
      <c r="Y55" t="n">
        <v>80000</v>
      </c>
      <c r="Z55" t="n">
        <v>8600</v>
      </c>
      <c r="AA55" t="n">
        <v>3.8</v>
      </c>
      <c r="AB55" t="n">
        <v>40</v>
      </c>
      <c r="AC55" t="n">
        <v>13.35</v>
      </c>
      <c r="AD55" t="n">
        <v>148.3</v>
      </c>
      <c r="AE55" t="inlineStr">
        <is>
          <t>Yes</t>
        </is>
      </c>
      <c r="AF55" t="n">
        <v>5</v>
      </c>
      <c r="AG55" t="n">
        <v>40</v>
      </c>
    </row>
    <row r="56">
      <c r="A56" t="inlineStr">
        <is>
          <t>McPhy Energy S.A.</t>
        </is>
      </c>
      <c r="B56" t="inlineStr">
        <is>
          <t>McLyzer 200-30</t>
        </is>
      </c>
      <c r="C56" t="inlineStr">
        <is>
          <t>AEC</t>
        </is>
      </c>
      <c r="F56" t="n">
        <v>1000</v>
      </c>
      <c r="H56" t="inlineStr">
        <is>
          <t>DC</t>
        </is>
      </c>
      <c r="I56" s="17" t="n"/>
      <c r="O56" t="n">
        <v>4.5</v>
      </c>
      <c r="P56" s="18">
        <f>((1000*O56)/0.08924)/1000</f>
        <v/>
      </c>
      <c r="Q56" s="18" t="n"/>
      <c r="R56" s="19" t="n"/>
      <c r="T56" t="n">
        <v>66.7</v>
      </c>
      <c r="AB56" t="n">
        <v>30</v>
      </c>
      <c r="AC56" t="n">
        <v>18</v>
      </c>
      <c r="AD56" t="n">
        <v>200</v>
      </c>
    </row>
    <row r="57">
      <c r="A57" t="inlineStr">
        <is>
          <t>Ecoclean GmbH</t>
        </is>
      </c>
      <c r="B57" t="inlineStr">
        <is>
          <t>EcoLyzer P200</t>
        </is>
      </c>
      <c r="C57" t="inlineStr">
        <is>
          <t>AEC</t>
        </is>
      </c>
      <c r="D57" t="n">
        <v>300</v>
      </c>
      <c r="E57" t="n">
        <v>800</v>
      </c>
      <c r="F57" t="n">
        <v>1000</v>
      </c>
      <c r="G57" t="n">
        <v>10</v>
      </c>
      <c r="H57" t="inlineStr">
        <is>
          <t>AC</t>
        </is>
      </c>
      <c r="I57" s="17" t="n">
        <v>0.07000000000000001</v>
      </c>
      <c r="J57" t="n">
        <v>20</v>
      </c>
      <c r="K57" t="inlineStr">
        <is>
          <t>Optional</t>
        </is>
      </c>
      <c r="L57" t="n">
        <v>8568</v>
      </c>
      <c r="M57" t="n">
        <v>-20</v>
      </c>
      <c r="N57" t="n">
        <v>45</v>
      </c>
      <c r="O57" t="n">
        <v>4.8</v>
      </c>
      <c r="P57" s="18">
        <f>((1000*O57)/0.08924)/1000</f>
        <v/>
      </c>
      <c r="Q57" s="18" t="n"/>
      <c r="R57" s="19" t="n">
        <v>0.33</v>
      </c>
      <c r="S57" t="n">
        <v>80</v>
      </c>
      <c r="T57" t="n">
        <v>62.5</v>
      </c>
      <c r="U57" t="n">
        <v>95.5</v>
      </c>
      <c r="V57" t="n">
        <v>40</v>
      </c>
      <c r="W57" t="n">
        <v>90</v>
      </c>
      <c r="X57" t="n">
        <v>5</v>
      </c>
      <c r="Y57" t="n">
        <v>70000</v>
      </c>
      <c r="Z57" t="n">
        <v>70000</v>
      </c>
      <c r="AA57" t="n">
        <v>2.7</v>
      </c>
      <c r="AB57" t="n">
        <v>1</v>
      </c>
      <c r="AC57" t="n">
        <v>16.82</v>
      </c>
      <c r="AD57" t="n">
        <v>186.9</v>
      </c>
      <c r="AE57" t="inlineStr">
        <is>
          <t>Optional</t>
        </is>
      </c>
      <c r="AF57" t="n">
        <v>5</v>
      </c>
      <c r="AG57" t="n">
        <v>750</v>
      </c>
    </row>
    <row r="58">
      <c r="A58" t="inlineStr">
        <is>
          <t>H2 Core Systems GmbH</t>
        </is>
      </c>
      <c r="B58" t="inlineStr">
        <is>
          <t>Multicore_x000D_MC450</t>
        </is>
      </c>
      <c r="C58" t="inlineStr">
        <is>
          <t>AEC</t>
        </is>
      </c>
      <c r="D58" t="n">
        <v>30</v>
      </c>
      <c r="E58" t="n">
        <v>1008</v>
      </c>
      <c r="F58" t="n">
        <v>1008</v>
      </c>
      <c r="G58" t="n">
        <v>400</v>
      </c>
      <c r="H58" t="inlineStr">
        <is>
          <t>AC</t>
        </is>
      </c>
      <c r="I58" s="17" t="n"/>
      <c r="K58" t="inlineStr">
        <is>
          <t>Yes</t>
        </is>
      </c>
      <c r="M58" t="n">
        <v>-15</v>
      </c>
      <c r="N58" t="n">
        <v>45</v>
      </c>
      <c r="O58" t="n">
        <v>4.8</v>
      </c>
      <c r="P58" s="18">
        <f>((1000*O58)/0.08924)/1000</f>
        <v/>
      </c>
      <c r="Q58" s="18" t="n"/>
      <c r="R58" s="19" t="n">
        <v>0.3273809523809524</v>
      </c>
      <c r="T58" t="n">
        <v>62.5</v>
      </c>
      <c r="V58" t="n">
        <v>20</v>
      </c>
      <c r="W58" t="n">
        <v>55</v>
      </c>
      <c r="X58" t="n">
        <v>5</v>
      </c>
      <c r="Y58" t="n">
        <v>35000</v>
      </c>
      <c r="AA58" t="n">
        <v>3</v>
      </c>
      <c r="AB58" t="n">
        <v>35</v>
      </c>
      <c r="AC58" t="n">
        <v>18.7</v>
      </c>
      <c r="AD58" t="n">
        <v>207.8</v>
      </c>
      <c r="AE58" t="inlineStr">
        <is>
          <t>Optional</t>
        </is>
      </c>
      <c r="AF58" t="n">
        <v>5</v>
      </c>
      <c r="AG58" t="n">
        <v>35</v>
      </c>
    </row>
    <row r="59">
      <c r="A59" t="inlineStr">
        <is>
          <t>Hydrogenics_x000D_(Cummins Inc.)*</t>
        </is>
      </c>
      <c r="B59" t="inlineStr">
        <is>
          <t>HyLyzer 250</t>
        </is>
      </c>
      <c r="C59" t="inlineStr">
        <is>
          <t>PEM</t>
        </is>
      </c>
      <c r="D59" t="n">
        <v>49</v>
      </c>
      <c r="F59" t="n">
        <v>988</v>
      </c>
      <c r="H59" t="inlineStr">
        <is>
          <t>AC</t>
        </is>
      </c>
      <c r="I59" s="17" t="n">
        <v>0.2004048582995951</v>
      </c>
      <c r="K59" t="inlineStr">
        <is>
          <t>Yes</t>
        </is>
      </c>
      <c r="M59" t="n">
        <v>-20</v>
      </c>
      <c r="N59" t="n">
        <v>40</v>
      </c>
      <c r="O59" t="n">
        <v>3.95</v>
      </c>
      <c r="P59" s="18">
        <f>((1000*O59)/0.08924)/1000</f>
        <v/>
      </c>
      <c r="Q59" s="18" t="n"/>
      <c r="R59" s="19" t="n"/>
      <c r="T59" t="n">
        <v>75.90000000000001</v>
      </c>
      <c r="AA59" t="n">
        <v>4.8</v>
      </c>
      <c r="AB59" t="n">
        <v>30</v>
      </c>
      <c r="AC59" t="n">
        <v>22.46</v>
      </c>
      <c r="AD59" t="n">
        <v>249.5</v>
      </c>
      <c r="AE59" t="inlineStr">
        <is>
          <t>Yes</t>
        </is>
      </c>
    </row>
    <row r="60">
      <c r="A60" t="inlineStr">
        <is>
          <t>PlugPower Inc.</t>
        </is>
      </c>
      <c r="B60" t="inlineStr">
        <is>
          <t>1MW_x000D_ELECTROLYZER</t>
        </is>
      </c>
      <c r="C60" t="inlineStr">
        <is>
          <t>PEM</t>
        </is>
      </c>
      <c r="F60" t="n">
        <v>1000</v>
      </c>
      <c r="G60" t="n">
        <v>400</v>
      </c>
      <c r="H60" t="inlineStr">
        <is>
          <t>AC</t>
        </is>
      </c>
      <c r="I60" s="17" t="n"/>
      <c r="J60" t="n">
        <v>30</v>
      </c>
      <c r="M60" t="n">
        <v>-20</v>
      </c>
      <c r="N60" t="n">
        <v>40</v>
      </c>
      <c r="O60" t="n">
        <v>4.49</v>
      </c>
      <c r="P60" s="18">
        <f>((1000*O60)/0.08924)/1000</f>
        <v/>
      </c>
      <c r="Q60" s="18" t="n"/>
      <c r="R60" s="19" t="n"/>
      <c r="T60" t="n">
        <v>66.8</v>
      </c>
      <c r="Y60" t="n">
        <v>80000</v>
      </c>
      <c r="AA60" t="n">
        <v>5</v>
      </c>
      <c r="AB60" t="n">
        <v>40</v>
      </c>
      <c r="AC60" t="n">
        <v>18</v>
      </c>
      <c r="AD60" t="n">
        <v>200</v>
      </c>
    </row>
    <row r="61">
      <c r="A61" t="inlineStr">
        <is>
          <t>H-TEC SYSTEMS GmbH</t>
        </is>
      </c>
      <c r="B61" t="inlineStr">
        <is>
          <t>ME450</t>
        </is>
      </c>
      <c r="C61" t="inlineStr">
        <is>
          <t>PEM</t>
        </is>
      </c>
      <c r="F61" t="n">
        <v>1000</v>
      </c>
      <c r="G61" t="n">
        <v>400</v>
      </c>
      <c r="I61" s="17" t="n">
        <v>0.0528</v>
      </c>
      <c r="J61" t="n">
        <v>30</v>
      </c>
      <c r="M61" t="n">
        <v>-20</v>
      </c>
      <c r="N61" t="n">
        <v>40</v>
      </c>
      <c r="O61" t="n">
        <v>4.7</v>
      </c>
      <c r="P61" t="n">
        <v>53</v>
      </c>
      <c r="R61" s="19" t="n">
        <v>0.17</v>
      </c>
      <c r="S61" t="n">
        <v>57</v>
      </c>
      <c r="T61" t="n">
        <v>62.9</v>
      </c>
      <c r="U61" t="n">
        <v>90</v>
      </c>
      <c r="AA61" t="n">
        <v>5</v>
      </c>
      <c r="AB61" t="n">
        <v>30</v>
      </c>
      <c r="AD61" t="n">
        <v>200</v>
      </c>
    </row>
    <row r="62">
      <c r="A62" t="inlineStr">
        <is>
          <t>elogen</t>
        </is>
      </c>
      <c r="B62" t="inlineStr">
        <is>
          <t>E200</t>
        </is>
      </c>
      <c r="C62" t="inlineStr">
        <is>
          <t>PEM</t>
        </is>
      </c>
      <c r="D62" t="n">
        <v>50</v>
      </c>
      <c r="E62" t="n">
        <v>1000</v>
      </c>
      <c r="F62" t="n">
        <v>1000</v>
      </c>
      <c r="G62" t="n">
        <v>400</v>
      </c>
      <c r="H62" t="inlineStr">
        <is>
          <t>AC/_x000D_DC</t>
        </is>
      </c>
      <c r="I62" s="17" t="n">
        <v>0.045</v>
      </c>
      <c r="J62" t="n">
        <v>30</v>
      </c>
      <c r="K62" t="inlineStr">
        <is>
          <t>Yes</t>
        </is>
      </c>
      <c r="L62" t="n">
        <v>8322</v>
      </c>
      <c r="M62" t="n">
        <v>-20</v>
      </c>
      <c r="N62" t="n">
        <v>40</v>
      </c>
      <c r="O62" t="n">
        <v>4.4</v>
      </c>
      <c r="P62" s="18">
        <f>((1000*O62)/0.08924)/1000</f>
        <v/>
      </c>
      <c r="Q62" s="18" t="n"/>
      <c r="R62" s="19" t="n"/>
      <c r="S62" t="n">
        <v>60</v>
      </c>
      <c r="X62" t="n">
        <v>0.1</v>
      </c>
      <c r="AA62" t="n">
        <v>3.5</v>
      </c>
      <c r="AC62" t="n">
        <v>18</v>
      </c>
      <c r="AD62" t="n">
        <v>200</v>
      </c>
      <c r="AE62" t="inlineStr">
        <is>
          <t>Optional</t>
        </is>
      </c>
      <c r="AF62" t="n">
        <v>5</v>
      </c>
      <c r="AG62" t="n">
        <v>30</v>
      </c>
    </row>
    <row r="63">
      <c r="A63" t="inlineStr">
        <is>
          <t>Enapter</t>
        </is>
      </c>
      <c r="B63" t="inlineStr">
        <is>
          <t>AEM Multicore</t>
        </is>
      </c>
      <c r="C63" t="inlineStr">
        <is>
          <t>AEC</t>
        </is>
      </c>
      <c r="D63" t="n">
        <v>30</v>
      </c>
      <c r="E63" t="n">
        <v>1008</v>
      </c>
      <c r="F63" t="n">
        <v>1058</v>
      </c>
      <c r="G63" t="n">
        <v>400</v>
      </c>
      <c r="H63" t="inlineStr">
        <is>
          <t>AC</t>
        </is>
      </c>
      <c r="I63" s="17" t="n">
        <v>0.02807183364839319</v>
      </c>
      <c r="J63" t="n">
        <v>3</v>
      </c>
      <c r="K63" t="inlineStr">
        <is>
          <t>Optional</t>
        </is>
      </c>
      <c r="M63" t="n">
        <v>5</v>
      </c>
      <c r="N63" t="n">
        <v>45</v>
      </c>
      <c r="O63" t="n">
        <v>4.8</v>
      </c>
      <c r="P63" s="18">
        <f>((1000*O63)/0.08924)/1000</f>
        <v/>
      </c>
      <c r="Q63" s="18" t="n"/>
      <c r="R63" s="19" t="n"/>
      <c r="T63" t="n">
        <v>62.5</v>
      </c>
      <c r="V63" t="n">
        <v>20</v>
      </c>
      <c r="W63" t="n">
        <v>55</v>
      </c>
      <c r="X63" t="n">
        <v>20</v>
      </c>
      <c r="Y63" t="n">
        <v>35000</v>
      </c>
      <c r="AA63" t="n">
        <v>3</v>
      </c>
      <c r="AB63" t="n">
        <v>35</v>
      </c>
      <c r="AC63" t="n">
        <v>18.75</v>
      </c>
      <c r="AD63" t="n">
        <v>208.3</v>
      </c>
      <c r="AE63" t="inlineStr">
        <is>
          <t>Optional</t>
        </is>
      </c>
    </row>
    <row r="64">
      <c r="A64" t="inlineStr">
        <is>
          <t>Fuel Cell Energy</t>
        </is>
      </c>
      <c r="B64" t="inlineStr">
        <is>
          <t>Solid Oxide Electrolyzer</t>
        </is>
      </c>
      <c r="C64" t="inlineStr">
        <is>
          <t>SOEC</t>
        </is>
      </c>
      <c r="F64" t="n">
        <v>1100</v>
      </c>
      <c r="G64" t="n">
        <v>480</v>
      </c>
      <c r="H64" t="inlineStr">
        <is>
          <t>AC</t>
        </is>
      </c>
      <c r="I64" s="17" t="n">
        <v>0.04223781818181819</v>
      </c>
      <c r="P64" t="n">
        <v>43.8</v>
      </c>
      <c r="R64" s="19" t="n"/>
      <c r="T64" s="20">
        <f>(120/(P64*3.6))*100</f>
        <v/>
      </c>
      <c r="AB64" t="n">
        <v>1.4</v>
      </c>
      <c r="AC64">
        <f>600/24</f>
        <v/>
      </c>
    </row>
    <row r="65">
      <c r="A65" t="inlineStr">
        <is>
          <t>Fuel Cell Energy</t>
        </is>
      </c>
      <c r="B65" t="inlineStr">
        <is>
          <t>Solid Oxide Electrolyzer</t>
        </is>
      </c>
      <c r="C65" t="inlineStr">
        <is>
          <t>SOEC + steam</t>
        </is>
      </c>
      <c r="F65" t="n">
        <v>1100</v>
      </c>
      <c r="G65" t="n">
        <v>480</v>
      </c>
      <c r="H65" t="inlineStr">
        <is>
          <t>AC</t>
        </is>
      </c>
      <c r="I65" s="17" t="n">
        <v>0.04223781818181819</v>
      </c>
      <c r="P65" t="n">
        <v>39.4</v>
      </c>
      <c r="Q65">
        <f>(P64-P65)*3.6</f>
        <v/>
      </c>
      <c r="R65" s="19" t="n"/>
      <c r="T65" s="20">
        <f>(120/(P65*3.6))*100</f>
        <v/>
      </c>
      <c r="AB65" t="n">
        <v>1.4</v>
      </c>
      <c r="AC65">
        <f>600/24</f>
        <v/>
      </c>
    </row>
    <row r="66">
      <c r="A66" t="inlineStr">
        <is>
          <t>AVX/KUMATEC Hydrogen_x000D_GmbH &amp; Co. KG</t>
        </is>
      </c>
      <c r="B66" t="inlineStr">
        <is>
          <t>PEM-40-1000</t>
        </is>
      </c>
      <c r="C66" t="inlineStr">
        <is>
          <t>PEM</t>
        </is>
      </c>
      <c r="D66" t="n">
        <v>100</v>
      </c>
      <c r="E66" t="n">
        <v>1000</v>
      </c>
      <c r="F66" t="n">
        <v>1100</v>
      </c>
      <c r="G66" t="n">
        <v>400</v>
      </c>
      <c r="H66" t="inlineStr">
        <is>
          <t>AC</t>
        </is>
      </c>
      <c r="I66" s="17" t="n">
        <v>0.02727272727272727</v>
      </c>
      <c r="J66" t="n">
        <v>3</v>
      </c>
      <c r="K66" t="inlineStr">
        <is>
          <t>Yes</t>
        </is>
      </c>
      <c r="L66" t="n">
        <v>8410</v>
      </c>
      <c r="M66" t="n">
        <v>-15</v>
      </c>
      <c r="N66" t="n">
        <v>40</v>
      </c>
      <c r="O66" t="n">
        <v>4.87</v>
      </c>
      <c r="P66" s="18">
        <f>((1000*O66)/0.08924)/1000</f>
        <v/>
      </c>
      <c r="Q66" s="18" t="n"/>
      <c r="R66" s="19" t="n"/>
      <c r="T66" t="n">
        <v>61.6</v>
      </c>
      <c r="V66" t="n">
        <v>5</v>
      </c>
      <c r="W66" t="n">
        <v>70</v>
      </c>
      <c r="X66" t="n">
        <v>1</v>
      </c>
      <c r="Y66" t="n">
        <v>80000</v>
      </c>
      <c r="AA66" t="n">
        <v>3.5</v>
      </c>
      <c r="AB66" t="n">
        <v>40</v>
      </c>
      <c r="AC66" t="n">
        <v>18</v>
      </c>
      <c r="AD66" t="n">
        <v>200</v>
      </c>
      <c r="AE66" t="inlineStr">
        <is>
          <t>Yes</t>
        </is>
      </c>
    </row>
    <row r="67">
      <c r="A67" t="inlineStr">
        <is>
          <t>iph Hähn Gmbh</t>
        </is>
      </c>
      <c r="B67" t="inlineStr">
        <is>
          <t>EL220</t>
        </is>
      </c>
      <c r="C67" t="inlineStr">
        <is>
          <t>PEM</t>
        </is>
      </c>
      <c r="D67" t="n">
        <v>131</v>
      </c>
      <c r="E67" t="n">
        <v>1100</v>
      </c>
      <c r="F67" t="n">
        <v>1155</v>
      </c>
      <c r="G67" t="n">
        <v>400</v>
      </c>
      <c r="H67" t="inlineStr">
        <is>
          <t>AC</t>
        </is>
      </c>
      <c r="I67" s="17" t="n">
        <v>0.04761904761904762</v>
      </c>
      <c r="J67" t="n">
        <v>40</v>
      </c>
      <c r="K67" t="inlineStr">
        <is>
          <t>Optional</t>
        </is>
      </c>
      <c r="L67" t="n">
        <v>8600</v>
      </c>
      <c r="M67" t="n">
        <v>-20</v>
      </c>
      <c r="N67" t="n">
        <v>40</v>
      </c>
      <c r="R67" s="19" t="n"/>
      <c r="AB67" t="n">
        <v>30</v>
      </c>
      <c r="AC67" t="n">
        <v>20</v>
      </c>
      <c r="AD67" t="n">
        <v>222.2</v>
      </c>
      <c r="AE67" t="inlineStr">
        <is>
          <t>Optional</t>
        </is>
      </c>
    </row>
    <row r="68">
      <c r="A68" t="inlineStr">
        <is>
          <t>Kyros Hydrogen_x000D_Solutions GmbH</t>
        </is>
      </c>
      <c r="B68" t="inlineStr">
        <is>
          <t>Kyros_x000D_Electrolyzer 1000</t>
        </is>
      </c>
      <c r="C68" t="inlineStr">
        <is>
          <t>PEM</t>
        </is>
      </c>
      <c r="D68" t="n">
        <v>200</v>
      </c>
      <c r="E68" t="n">
        <v>1000</v>
      </c>
      <c r="F68" t="n">
        <v>1200</v>
      </c>
      <c r="G68" t="n">
        <v>400</v>
      </c>
      <c r="H68" t="inlineStr">
        <is>
          <t>AC/_x000D_DC</t>
        </is>
      </c>
      <c r="I68" s="17" t="n">
        <v>0.02333333333333333</v>
      </c>
      <c r="J68" t="n">
        <v>15</v>
      </c>
      <c r="K68" t="inlineStr">
        <is>
          <t>Yes</t>
        </is>
      </c>
      <c r="L68" t="n">
        <v>8650</v>
      </c>
      <c r="M68" t="n">
        <v>-40</v>
      </c>
      <c r="N68" t="n">
        <v>35</v>
      </c>
      <c r="O68" t="n">
        <v>4.8</v>
      </c>
      <c r="P68" s="18">
        <f>((1000*O68)/0.08924)/1000</f>
        <v/>
      </c>
      <c r="Q68" s="18" t="n"/>
      <c r="R68" s="19" t="n">
        <v>0.1666666666666667</v>
      </c>
      <c r="S68" t="n">
        <v>62</v>
      </c>
      <c r="T68" t="n">
        <v>62.5</v>
      </c>
      <c r="V68" t="n">
        <v>25</v>
      </c>
      <c r="W68" t="n">
        <v>75</v>
      </c>
      <c r="X68" t="n">
        <v>0.1</v>
      </c>
      <c r="Y68" t="n">
        <v>80000</v>
      </c>
      <c r="Z68" t="n">
        <v>8600</v>
      </c>
      <c r="AA68" t="n">
        <v>3.8</v>
      </c>
      <c r="AB68" t="n">
        <v>40</v>
      </c>
      <c r="AC68" t="n">
        <v>17.8</v>
      </c>
      <c r="AD68" t="n">
        <v>197.8</v>
      </c>
      <c r="AE68" t="inlineStr">
        <is>
          <t>Yes</t>
        </is>
      </c>
      <c r="AF68" t="n">
        <v>5</v>
      </c>
      <c r="AG68" t="n">
        <v>40</v>
      </c>
    </row>
    <row r="69">
      <c r="A69" t="inlineStr">
        <is>
          <t>ITMPower</t>
        </is>
      </c>
      <c r="B69" t="inlineStr">
        <is>
          <t>HGAS2SP</t>
        </is>
      </c>
      <c r="C69" t="inlineStr">
        <is>
          <t>PEM</t>
        </is>
      </c>
      <c r="F69" t="n">
        <v>1390</v>
      </c>
      <c r="G69" t="n">
        <v>11000</v>
      </c>
      <c r="H69" t="inlineStr">
        <is>
          <t>AC</t>
        </is>
      </c>
      <c r="I69" s="17" t="n"/>
      <c r="K69" t="inlineStr">
        <is>
          <t>Yes</t>
        </is>
      </c>
      <c r="R69" s="19" t="n"/>
      <c r="AA69" t="n">
        <v>5</v>
      </c>
      <c r="AB69" t="n">
        <v>20</v>
      </c>
      <c r="AC69" t="n">
        <v>22</v>
      </c>
      <c r="AD69" t="n">
        <v>244.4</v>
      </c>
      <c r="AE69" t="inlineStr">
        <is>
          <t>Yes</t>
        </is>
      </c>
    </row>
    <row r="70">
      <c r="A70" t="inlineStr">
        <is>
          <t>H-TEC SYSTEMS GmbH</t>
        </is>
      </c>
      <c r="B70" t="inlineStr">
        <is>
          <t>ME450/1400</t>
        </is>
      </c>
      <c r="C70" t="inlineStr">
        <is>
          <t>PEM</t>
        </is>
      </c>
      <c r="D70" t="n">
        <v>200</v>
      </c>
      <c r="E70" t="n">
        <v>1000</v>
      </c>
      <c r="F70" t="n">
        <v>1400</v>
      </c>
      <c r="G70" t="n">
        <v>568</v>
      </c>
      <c r="H70" t="inlineStr">
        <is>
          <t>AC</t>
        </is>
      </c>
      <c r="I70" s="17" t="n">
        <v>0.02</v>
      </c>
      <c r="J70" t="n">
        <v>30</v>
      </c>
      <c r="K70" t="inlineStr">
        <is>
          <t>Yes</t>
        </is>
      </c>
      <c r="L70" t="n">
        <v>8322</v>
      </c>
      <c r="M70" t="n">
        <v>-20</v>
      </c>
      <c r="N70" t="n">
        <v>40</v>
      </c>
      <c r="R70" s="19" t="n"/>
      <c r="X70" t="n">
        <v>0.1</v>
      </c>
      <c r="AA70" t="n">
        <v>5</v>
      </c>
      <c r="AB70" t="n">
        <v>30</v>
      </c>
      <c r="AC70" t="n">
        <v>18.9</v>
      </c>
      <c r="AD70" t="n">
        <v>210</v>
      </c>
      <c r="AE70" t="inlineStr">
        <is>
          <t>Yes</t>
        </is>
      </c>
    </row>
    <row r="71">
      <c r="A71" t="inlineStr">
        <is>
          <t>AVX/KUMATEC Hydrogen_x000D_GmbH &amp; Co. KG</t>
        </is>
      </c>
      <c r="B71" t="inlineStr">
        <is>
          <t>EcoLyzer A300</t>
        </is>
      </c>
      <c r="C71" t="inlineStr">
        <is>
          <t>AEC</t>
        </is>
      </c>
      <c r="D71" t="n">
        <v>300</v>
      </c>
      <c r="E71" t="n">
        <v>1200</v>
      </c>
      <c r="F71" t="n">
        <v>1500</v>
      </c>
      <c r="G71" t="n">
        <v>10</v>
      </c>
      <c r="H71" t="inlineStr">
        <is>
          <t>AC</t>
        </is>
      </c>
      <c r="I71" s="17" t="n">
        <v>0.07000000000000001</v>
      </c>
      <c r="J71" t="n">
        <v>5</v>
      </c>
      <c r="K71" t="inlineStr">
        <is>
          <t>Optional</t>
        </is>
      </c>
      <c r="L71" t="n">
        <v>8410</v>
      </c>
      <c r="M71" t="n">
        <v>-20</v>
      </c>
      <c r="N71" t="n">
        <v>45</v>
      </c>
      <c r="O71" t="n">
        <v>4.5</v>
      </c>
      <c r="P71" s="18">
        <f>((1000*O71)/0.08924)/1000</f>
        <v/>
      </c>
      <c r="Q71" s="18" t="n"/>
      <c r="R71" s="19" t="n">
        <v>0.33</v>
      </c>
      <c r="S71" t="n">
        <v>80</v>
      </c>
      <c r="T71" t="n">
        <v>66.7</v>
      </c>
      <c r="U71" t="n">
        <v>99.7</v>
      </c>
      <c r="V71" t="n">
        <v>40</v>
      </c>
      <c r="W71" t="n">
        <v>90</v>
      </c>
      <c r="X71" t="n">
        <v>5</v>
      </c>
      <c r="Y71" t="n">
        <v>80000</v>
      </c>
      <c r="Z71" t="n">
        <v>80000</v>
      </c>
      <c r="AA71" t="n">
        <v>3</v>
      </c>
      <c r="AB71" t="n">
        <v>30</v>
      </c>
      <c r="AC71" t="n">
        <v>25.23</v>
      </c>
      <c r="AD71" t="n">
        <v>280.3</v>
      </c>
      <c r="AE71" t="inlineStr">
        <is>
          <t>Optional</t>
        </is>
      </c>
      <c r="AF71" t="n">
        <v>5</v>
      </c>
      <c r="AG71" t="n">
        <v>750</v>
      </c>
    </row>
    <row r="72">
      <c r="A72" t="inlineStr">
        <is>
          <t>Hydrogenics_x000D_(Cummins Inc.)*</t>
        </is>
      </c>
      <c r="B72" t="inlineStr">
        <is>
          <t>HyLyzer 400</t>
        </is>
      </c>
      <c r="C72" t="inlineStr">
        <is>
          <t>PEM</t>
        </is>
      </c>
      <c r="D72" t="n">
        <v>79</v>
      </c>
      <c r="F72" t="n">
        <v>1580</v>
      </c>
      <c r="H72" t="inlineStr">
        <is>
          <t>AC</t>
        </is>
      </c>
      <c r="I72" s="17" t="n">
        <v>0.1253164556962025</v>
      </c>
      <c r="K72" t="inlineStr">
        <is>
          <t>Yes</t>
        </is>
      </c>
      <c r="M72" t="n">
        <v>-20</v>
      </c>
      <c r="N72" t="n">
        <v>40</v>
      </c>
      <c r="O72" t="n">
        <v>3.95</v>
      </c>
      <c r="P72" s="18">
        <f>((1000*O72)/0.08924)/1000</f>
        <v/>
      </c>
      <c r="Q72" s="18" t="n"/>
      <c r="R72" s="19" t="n"/>
      <c r="T72" t="n">
        <v>75.90000000000001</v>
      </c>
      <c r="AA72" t="n">
        <v>4.8</v>
      </c>
      <c r="AB72" t="n">
        <v>30</v>
      </c>
      <c r="AC72" t="n">
        <v>35.92</v>
      </c>
      <c r="AD72" t="n">
        <v>399.1</v>
      </c>
      <c r="AE72" t="inlineStr">
        <is>
          <t>Yes</t>
        </is>
      </c>
    </row>
    <row r="73">
      <c r="A73" t="inlineStr">
        <is>
          <t>Kyros Hydrogen_x000D_Solutions GmbH</t>
        </is>
      </c>
      <c r="B73" t="inlineStr">
        <is>
          <t>Kyros_x000D_Electrolyzer 1500</t>
        </is>
      </c>
      <c r="C73" t="inlineStr">
        <is>
          <t>PEM</t>
        </is>
      </c>
      <c r="D73" t="n">
        <v>200</v>
      </c>
      <c r="E73" t="n">
        <v>1500</v>
      </c>
      <c r="F73" t="n">
        <v>1800</v>
      </c>
      <c r="G73" t="n">
        <v>400</v>
      </c>
      <c r="H73" t="inlineStr">
        <is>
          <t>AC/_x000D_DC</t>
        </is>
      </c>
      <c r="I73" s="17" t="n">
        <v>0.01555555555555556</v>
      </c>
      <c r="J73" t="n">
        <v>15</v>
      </c>
      <c r="K73" t="inlineStr">
        <is>
          <t>Yes</t>
        </is>
      </c>
      <c r="L73" t="n">
        <v>8650</v>
      </c>
      <c r="M73" t="n">
        <v>-40</v>
      </c>
      <c r="N73" t="n">
        <v>35</v>
      </c>
      <c r="O73" t="n">
        <v>4.8</v>
      </c>
      <c r="P73" s="18">
        <f>((1000*O73)/0.08924)/1000</f>
        <v/>
      </c>
      <c r="Q73" s="18" t="n"/>
      <c r="R73" s="19" t="n">
        <v>0.1666666666666667</v>
      </c>
      <c r="S73" t="n">
        <v>62</v>
      </c>
      <c r="T73" t="n">
        <v>62.5</v>
      </c>
      <c r="V73" t="n">
        <v>25</v>
      </c>
      <c r="W73" t="n">
        <v>75</v>
      </c>
      <c r="X73" t="n">
        <v>0.1</v>
      </c>
      <c r="Y73" t="n">
        <v>80000</v>
      </c>
      <c r="Z73" t="n">
        <v>8600</v>
      </c>
      <c r="AA73" t="n">
        <v>3.8</v>
      </c>
      <c r="AB73" t="n">
        <v>40</v>
      </c>
      <c r="AC73" t="n">
        <v>26.7</v>
      </c>
      <c r="AD73" t="n">
        <v>296.7</v>
      </c>
      <c r="AE73" t="inlineStr">
        <is>
          <t>Yes</t>
        </is>
      </c>
      <c r="AF73" t="n">
        <v>5</v>
      </c>
      <c r="AG73" t="n">
        <v>40</v>
      </c>
    </row>
    <row r="74">
      <c r="A74" t="inlineStr">
        <is>
          <t>Hydrogenics_x000D_(Cummins Inc.)*</t>
        </is>
      </c>
      <c r="B74" t="inlineStr">
        <is>
          <t>HyLyzer 500</t>
        </is>
      </c>
      <c r="C74" t="inlineStr">
        <is>
          <t>PEM</t>
        </is>
      </c>
      <c r="D74" t="n">
        <v>99</v>
      </c>
      <c r="F74" t="n">
        <v>1975</v>
      </c>
      <c r="H74" t="inlineStr">
        <is>
          <t>AC</t>
        </is>
      </c>
      <c r="I74" s="17" t="n">
        <v>0.100253164556962</v>
      </c>
      <c r="K74" t="inlineStr">
        <is>
          <t>Yes</t>
        </is>
      </c>
      <c r="M74" t="n">
        <v>-20</v>
      </c>
      <c r="N74" t="n">
        <v>40</v>
      </c>
      <c r="O74" t="n">
        <v>3.95</v>
      </c>
      <c r="P74" s="18">
        <f>((1000*O74)/0.08924)/1000</f>
        <v/>
      </c>
      <c r="Q74" s="18" t="n"/>
      <c r="R74" s="19" t="n"/>
      <c r="T74" t="n">
        <v>75.90000000000001</v>
      </c>
      <c r="AA74" t="n">
        <v>4.8</v>
      </c>
      <c r="AB74" t="n">
        <v>30</v>
      </c>
      <c r="AC74" t="n">
        <v>45</v>
      </c>
      <c r="AD74" t="n">
        <v>500</v>
      </c>
      <c r="AE74" t="inlineStr">
        <is>
          <t>Yes</t>
        </is>
      </c>
    </row>
    <row r="75">
      <c r="A75" t="inlineStr">
        <is>
          <t>green-H2-systems</t>
        </is>
      </c>
      <c r="B75" t="inlineStr">
        <is>
          <t>green_x000D_Electrolyzer_x000D_gEL400</t>
        </is>
      </c>
      <c r="C75" t="inlineStr">
        <is>
          <t>PEM</t>
        </is>
      </c>
      <c r="D75" t="n">
        <v>200</v>
      </c>
      <c r="E75" t="n">
        <v>2000</v>
      </c>
      <c r="F75" t="n">
        <v>2000</v>
      </c>
      <c r="G75" t="n">
        <v>400</v>
      </c>
      <c r="H75" t="inlineStr">
        <is>
          <t>AC</t>
        </is>
      </c>
      <c r="I75" s="17" t="n">
        <v>0.15</v>
      </c>
      <c r="J75" t="n">
        <v>1</v>
      </c>
      <c r="K75" t="inlineStr">
        <is>
          <t>Yes</t>
        </is>
      </c>
      <c r="L75" t="n">
        <v>8600</v>
      </c>
      <c r="M75" t="n">
        <v>-20</v>
      </c>
      <c r="N75" t="n">
        <v>35</v>
      </c>
      <c r="O75" t="n">
        <v>4.5</v>
      </c>
      <c r="P75" s="18">
        <f>((1000*O75)/0.08924)/1000</f>
        <v/>
      </c>
      <c r="Q75" s="18" t="n"/>
      <c r="R75" s="19" t="n"/>
      <c r="T75" t="n">
        <v>66.7</v>
      </c>
      <c r="Y75" t="n">
        <v>80000</v>
      </c>
      <c r="AA75" t="n">
        <v>5</v>
      </c>
      <c r="AB75" t="n">
        <v>35</v>
      </c>
      <c r="AC75" t="n">
        <v>36</v>
      </c>
      <c r="AD75" t="n">
        <v>400</v>
      </c>
      <c r="AE75" t="inlineStr">
        <is>
          <t>Yes</t>
        </is>
      </c>
    </row>
    <row r="76">
      <c r="A76" t="inlineStr">
        <is>
          <t>McPhy Energy S.A.</t>
        </is>
      </c>
      <c r="B76" t="inlineStr">
        <is>
          <t>McLyzer 400-30</t>
        </is>
      </c>
      <c r="C76" t="inlineStr">
        <is>
          <t>AEC</t>
        </is>
      </c>
      <c r="F76" t="n">
        <v>2000</v>
      </c>
      <c r="H76" t="inlineStr">
        <is>
          <t>DC</t>
        </is>
      </c>
      <c r="I76" s="17" t="n"/>
      <c r="O76" t="n">
        <v>4.5</v>
      </c>
      <c r="P76" s="18">
        <f>((1000*O76)/0.08924)/1000</f>
        <v/>
      </c>
      <c r="Q76" s="18" t="n"/>
      <c r="R76" s="19" t="n"/>
      <c r="T76" t="n">
        <v>66.7</v>
      </c>
      <c r="AB76" t="n">
        <v>30</v>
      </c>
      <c r="AC76" t="n">
        <v>36</v>
      </c>
      <c r="AD76" t="n">
        <v>400</v>
      </c>
    </row>
    <row r="77">
      <c r="A77" t="inlineStr">
        <is>
          <t>Ecoclean GmbH</t>
        </is>
      </c>
      <c r="B77" t="inlineStr">
        <is>
          <t>EcoLyzer P400</t>
        </is>
      </c>
      <c r="C77" t="inlineStr">
        <is>
          <t>AEC</t>
        </is>
      </c>
      <c r="D77" t="n">
        <v>300</v>
      </c>
      <c r="E77" t="n">
        <v>1600</v>
      </c>
      <c r="F77" t="n">
        <v>2000</v>
      </c>
      <c r="G77" t="n">
        <v>10</v>
      </c>
      <c r="H77" t="inlineStr">
        <is>
          <t>AC</t>
        </is>
      </c>
      <c r="I77" s="17" t="n">
        <v>0.0525</v>
      </c>
      <c r="J77" t="n">
        <v>20</v>
      </c>
      <c r="K77" t="inlineStr">
        <is>
          <t>Optional</t>
        </is>
      </c>
      <c r="L77" t="n">
        <v>8568</v>
      </c>
      <c r="M77" t="n">
        <v>-20</v>
      </c>
      <c r="N77" t="n">
        <v>45</v>
      </c>
      <c r="O77" t="n">
        <v>4.8</v>
      </c>
      <c r="P77" s="18">
        <f>((1000*O77)/0.08924)/1000</f>
        <v/>
      </c>
      <c r="Q77" s="18" t="n"/>
      <c r="R77" s="19" t="n">
        <v>0.33</v>
      </c>
      <c r="S77" t="n">
        <v>80</v>
      </c>
      <c r="T77" t="n">
        <v>62.5</v>
      </c>
      <c r="U77" t="n">
        <v>95.5</v>
      </c>
      <c r="V77" t="n">
        <v>40</v>
      </c>
      <c r="W77" t="n">
        <v>90</v>
      </c>
      <c r="X77" t="n">
        <v>5</v>
      </c>
      <c r="Y77" t="n">
        <v>70000</v>
      </c>
      <c r="Z77" t="n">
        <v>70000</v>
      </c>
      <c r="AA77" t="n">
        <v>2.7</v>
      </c>
      <c r="AB77" t="n">
        <v>1</v>
      </c>
      <c r="AC77" t="n">
        <v>33.64</v>
      </c>
      <c r="AD77" t="n">
        <v>373.8</v>
      </c>
      <c r="AE77" t="inlineStr">
        <is>
          <t>Optional</t>
        </is>
      </c>
      <c r="AF77" t="n">
        <v>5</v>
      </c>
      <c r="AG77" t="n">
        <v>750</v>
      </c>
    </row>
    <row r="78">
      <c r="A78" t="inlineStr">
        <is>
          <t>ITMPower</t>
        </is>
      </c>
      <c r="B78" t="inlineStr">
        <is>
          <t>HGAS3SP</t>
        </is>
      </c>
      <c r="C78" t="inlineStr">
        <is>
          <t>PEM</t>
        </is>
      </c>
      <c r="F78" t="n">
        <v>2350</v>
      </c>
      <c r="G78" t="n">
        <v>11000</v>
      </c>
      <c r="H78" t="inlineStr">
        <is>
          <t>AC</t>
        </is>
      </c>
      <c r="I78" s="17" t="n"/>
      <c r="K78" t="inlineStr">
        <is>
          <t>Yes</t>
        </is>
      </c>
      <c r="R78" s="19" t="n"/>
      <c r="AA78" t="n">
        <v>5</v>
      </c>
      <c r="AB78" t="n">
        <v>20</v>
      </c>
      <c r="AC78" t="n">
        <v>36</v>
      </c>
      <c r="AD78" t="n">
        <v>400</v>
      </c>
      <c r="AE78" t="inlineStr">
        <is>
          <t>Yes</t>
        </is>
      </c>
    </row>
    <row r="79">
      <c r="A79" t="inlineStr">
        <is>
          <t>Kyros Hydrogen_x000D_Solutions GmbH</t>
        </is>
      </c>
      <c r="B79" t="inlineStr">
        <is>
          <t>Kyros_x000D_Electrolyzer 2000</t>
        </is>
      </c>
      <c r="C79" t="inlineStr">
        <is>
          <t>PEM</t>
        </is>
      </c>
      <c r="D79" t="n">
        <v>200</v>
      </c>
      <c r="E79" t="n">
        <v>2000</v>
      </c>
      <c r="F79" t="n">
        <v>2400</v>
      </c>
      <c r="G79" t="n">
        <v>400</v>
      </c>
      <c r="H79" t="inlineStr">
        <is>
          <t>AC/_x000D_DC</t>
        </is>
      </c>
      <c r="I79" s="17" t="n">
        <v>0.01166666666666667</v>
      </c>
      <c r="J79" t="n">
        <v>15</v>
      </c>
      <c r="K79" t="inlineStr">
        <is>
          <t>Yes</t>
        </is>
      </c>
      <c r="L79" t="n">
        <v>8650</v>
      </c>
      <c r="M79" t="n">
        <v>-40</v>
      </c>
      <c r="N79" t="n">
        <v>35</v>
      </c>
      <c r="O79" t="n">
        <v>4.8</v>
      </c>
      <c r="P79" s="18">
        <f>((1000*O79)/0.08924)/1000</f>
        <v/>
      </c>
      <c r="Q79" s="18" t="n"/>
      <c r="R79" s="19" t="n">
        <v>0.1666666666666667</v>
      </c>
      <c r="S79" t="n">
        <v>62</v>
      </c>
      <c r="T79" t="n">
        <v>62.5</v>
      </c>
      <c r="V79" t="n">
        <v>25</v>
      </c>
      <c r="W79" t="n">
        <v>75</v>
      </c>
      <c r="X79" t="n">
        <v>0.1</v>
      </c>
      <c r="Y79" t="n">
        <v>80000</v>
      </c>
      <c r="Z79" t="n">
        <v>8600</v>
      </c>
      <c r="AA79" t="n">
        <v>3.8</v>
      </c>
      <c r="AB79" t="n">
        <v>40</v>
      </c>
      <c r="AC79" t="n">
        <v>35.6</v>
      </c>
      <c r="AD79" t="n">
        <v>395.6</v>
      </c>
      <c r="AE79" t="inlineStr">
        <is>
          <t>Yes</t>
        </is>
      </c>
      <c r="AF79" t="n">
        <v>5</v>
      </c>
      <c r="AG79" t="n">
        <v>40</v>
      </c>
    </row>
    <row r="80">
      <c r="A80" t="inlineStr">
        <is>
          <t>Sunfire GmbH</t>
        </is>
      </c>
      <c r="B80" t="inlineStr">
        <is>
          <t>Sunfire-HyLink_x000D_SOEC</t>
        </is>
      </c>
      <c r="C80" t="inlineStr">
        <is>
          <t>SOEC + steam</t>
        </is>
      </c>
      <c r="D80" t="n">
        <v>135</v>
      </c>
      <c r="F80" t="n">
        <v>2475</v>
      </c>
      <c r="H80" t="inlineStr">
        <is>
          <t>AC</t>
        </is>
      </c>
      <c r="I80" s="17" t="n">
        <v>0.1212121212121212</v>
      </c>
      <c r="M80" t="n">
        <v>-20</v>
      </c>
      <c r="N80" t="n">
        <v>40</v>
      </c>
      <c r="O80" t="n">
        <v>3.6</v>
      </c>
      <c r="P80" s="18">
        <f>((1000*O80)/0.08924)/1000</f>
        <v/>
      </c>
      <c r="Q80" s="18" t="n">
        <v>16</v>
      </c>
      <c r="R80" s="19" t="n"/>
      <c r="T80" s="20">
        <f>(120/(P80*3.6))*100</f>
        <v/>
      </c>
      <c r="AB80" t="n">
        <v>4.5</v>
      </c>
      <c r="AC80" t="n">
        <v>67.5</v>
      </c>
      <c r="AD80" t="n">
        <v>750</v>
      </c>
    </row>
    <row r="81">
      <c r="A81" t="inlineStr">
        <is>
          <t>elogen</t>
        </is>
      </c>
      <c r="B81" t="inlineStr">
        <is>
          <t>E500</t>
        </is>
      </c>
      <c r="C81" t="inlineStr">
        <is>
          <t>PEM</t>
        </is>
      </c>
      <c r="D81" t="n">
        <v>125</v>
      </c>
      <c r="E81" t="n">
        <v>2500</v>
      </c>
      <c r="F81" t="n">
        <v>2500</v>
      </c>
      <c r="G81" t="n">
        <v>400</v>
      </c>
      <c r="H81" t="inlineStr">
        <is>
          <t>AC/_x000D_DC</t>
        </is>
      </c>
      <c r="I81" s="17" t="n">
        <v>0.024</v>
      </c>
      <c r="J81" t="n">
        <v>30</v>
      </c>
      <c r="K81" t="inlineStr">
        <is>
          <t>Yes</t>
        </is>
      </c>
      <c r="L81" t="n">
        <v>8322</v>
      </c>
      <c r="M81" t="n">
        <v>-20</v>
      </c>
      <c r="N81" t="n">
        <v>40</v>
      </c>
      <c r="R81" s="19" t="n"/>
      <c r="S81" t="n">
        <v>60</v>
      </c>
      <c r="X81" t="n">
        <v>0.1</v>
      </c>
      <c r="AA81" t="n">
        <v>3.5</v>
      </c>
      <c r="AC81" t="n">
        <v>45</v>
      </c>
      <c r="AD81" t="n">
        <v>500</v>
      </c>
      <c r="AE81" t="inlineStr">
        <is>
          <t>Optional</t>
        </is>
      </c>
      <c r="AF81" t="n">
        <v>5</v>
      </c>
      <c r="AG81" t="n">
        <v>30</v>
      </c>
    </row>
    <row r="82">
      <c r="A82" t="inlineStr">
        <is>
          <t>Ecoclean GmbH</t>
        </is>
      </c>
      <c r="B82" t="inlineStr">
        <is>
          <t>EcoLyzer A600</t>
        </is>
      </c>
      <c r="C82" t="inlineStr">
        <is>
          <t>AEC</t>
        </is>
      </c>
      <c r="D82" t="n">
        <v>300</v>
      </c>
      <c r="E82" t="n">
        <v>2400</v>
      </c>
      <c r="F82" t="n">
        <v>3000</v>
      </c>
      <c r="G82" t="n">
        <v>10</v>
      </c>
      <c r="H82" t="inlineStr">
        <is>
          <t>AC</t>
        </is>
      </c>
      <c r="I82" s="17" t="n">
        <v>0.035</v>
      </c>
      <c r="J82" t="n">
        <v>5</v>
      </c>
      <c r="K82" t="inlineStr">
        <is>
          <t>Optional</t>
        </is>
      </c>
      <c r="L82" t="n">
        <v>8568</v>
      </c>
      <c r="M82" t="n">
        <v>-20</v>
      </c>
      <c r="N82" t="n">
        <v>45</v>
      </c>
      <c r="O82" t="n">
        <v>4.5</v>
      </c>
      <c r="P82" s="18">
        <f>((1000*O82)/0.08924)/1000</f>
        <v/>
      </c>
      <c r="Q82" s="18" t="n"/>
      <c r="R82" s="19" t="n">
        <v>0.33</v>
      </c>
      <c r="S82" t="n">
        <v>80</v>
      </c>
      <c r="T82" t="n">
        <v>66.7</v>
      </c>
      <c r="U82" t="n">
        <v>99.7</v>
      </c>
      <c r="V82" t="n">
        <v>40</v>
      </c>
      <c r="W82" t="n">
        <v>90</v>
      </c>
      <c r="X82" t="n">
        <v>5</v>
      </c>
      <c r="Y82" t="n">
        <v>80000</v>
      </c>
      <c r="Z82" t="n">
        <v>80000</v>
      </c>
      <c r="AA82" t="n">
        <v>3</v>
      </c>
      <c r="AB82" t="n">
        <v>30</v>
      </c>
      <c r="AC82" t="n">
        <v>50.46</v>
      </c>
      <c r="AD82" t="n">
        <v>560.7</v>
      </c>
      <c r="AE82" t="inlineStr">
        <is>
          <t>Optional</t>
        </is>
      </c>
      <c r="AF82" t="n">
        <v>5</v>
      </c>
      <c r="AG82" t="n">
        <v>750</v>
      </c>
    </row>
    <row r="83">
      <c r="A83" t="inlineStr">
        <is>
          <t>green-H2-systems</t>
        </is>
      </c>
      <c r="B83" t="inlineStr">
        <is>
          <t>green_x000D_Electrolyzer_x000D_gEL600</t>
        </is>
      </c>
      <c r="C83" t="inlineStr">
        <is>
          <t>PEM</t>
        </is>
      </c>
      <c r="D83" t="n">
        <v>300</v>
      </c>
      <c r="E83" t="n">
        <v>3000</v>
      </c>
      <c r="F83" t="n">
        <v>3000</v>
      </c>
      <c r="G83" t="n">
        <v>400</v>
      </c>
      <c r="H83" t="inlineStr">
        <is>
          <t>AC</t>
        </is>
      </c>
      <c r="I83" s="17" t="n">
        <v>0.1</v>
      </c>
      <c r="J83" t="n">
        <v>1</v>
      </c>
      <c r="K83" t="inlineStr">
        <is>
          <t>Yes</t>
        </is>
      </c>
      <c r="L83" t="n">
        <v>8600</v>
      </c>
      <c r="M83" t="n">
        <v>-20</v>
      </c>
      <c r="N83" t="n">
        <v>35</v>
      </c>
      <c r="O83" t="n">
        <v>4.5</v>
      </c>
      <c r="P83" s="18">
        <f>((1000*O83)/0.08924)/1000</f>
        <v/>
      </c>
      <c r="Q83" s="18" t="n"/>
      <c r="R83" s="19" t="n"/>
      <c r="T83" t="n">
        <v>66.7</v>
      </c>
      <c r="Y83" t="n">
        <v>80000</v>
      </c>
      <c r="AA83" t="n">
        <v>5</v>
      </c>
      <c r="AB83" t="n">
        <v>35</v>
      </c>
      <c r="AC83" t="n">
        <v>54</v>
      </c>
      <c r="AD83" t="n">
        <v>600</v>
      </c>
      <c r="AE83" t="inlineStr">
        <is>
          <t>Yes</t>
        </is>
      </c>
    </row>
    <row r="84">
      <c r="A84" t="inlineStr">
        <is>
          <t>green-H2-systems</t>
        </is>
      </c>
      <c r="B84" t="inlineStr">
        <is>
          <t>green_x000D_Electrolyzer_x000D_gEL800</t>
        </is>
      </c>
      <c r="C84" t="inlineStr">
        <is>
          <t>PEM</t>
        </is>
      </c>
      <c r="D84" t="n">
        <v>400</v>
      </c>
      <c r="E84" t="n">
        <v>4000</v>
      </c>
      <c r="F84" t="n">
        <v>4000</v>
      </c>
      <c r="G84" t="n">
        <v>400</v>
      </c>
      <c r="H84" t="inlineStr">
        <is>
          <t>AC</t>
        </is>
      </c>
      <c r="I84" s="17" t="n">
        <v>0.1</v>
      </c>
      <c r="J84" t="n">
        <v>1</v>
      </c>
      <c r="K84" t="inlineStr">
        <is>
          <t>Yes</t>
        </is>
      </c>
      <c r="L84" t="n">
        <v>8600</v>
      </c>
      <c r="M84" t="n">
        <v>-20</v>
      </c>
      <c r="N84" t="n">
        <v>35</v>
      </c>
      <c r="O84" t="n">
        <v>4.5</v>
      </c>
      <c r="P84" s="18">
        <f>((1000*O84)/0.08924)/1000</f>
        <v/>
      </c>
      <c r="Q84" s="18" t="n"/>
      <c r="R84" s="19" t="n"/>
      <c r="T84" t="n">
        <v>66.7</v>
      </c>
      <c r="Y84" t="n">
        <v>80000</v>
      </c>
      <c r="AA84" t="n">
        <v>5</v>
      </c>
      <c r="AB84" t="n">
        <v>35</v>
      </c>
      <c r="AC84" t="n">
        <v>72</v>
      </c>
      <c r="AD84" t="n">
        <v>800</v>
      </c>
      <c r="AE84" t="inlineStr">
        <is>
          <t>Yes</t>
        </is>
      </c>
    </row>
    <row r="85">
      <c r="A85" t="inlineStr">
        <is>
          <t>McPhy Energy S.A.</t>
        </is>
      </c>
      <c r="B85" t="inlineStr">
        <is>
          <t>McLyzer 800-30</t>
        </is>
      </c>
      <c r="C85" t="inlineStr">
        <is>
          <t>AEC</t>
        </is>
      </c>
      <c r="F85" t="n">
        <v>4000</v>
      </c>
      <c r="H85" t="inlineStr">
        <is>
          <t>DC</t>
        </is>
      </c>
      <c r="I85" s="17" t="n"/>
      <c r="O85" t="n">
        <v>4.5</v>
      </c>
      <c r="P85" s="18">
        <f>((1000*O85)/0.08924)/1000</f>
        <v/>
      </c>
      <c r="Q85" s="18" t="n"/>
      <c r="R85" s="19" t="n"/>
      <c r="T85" t="n">
        <v>66.7</v>
      </c>
      <c r="AB85" t="n">
        <v>30</v>
      </c>
      <c r="AC85" t="n">
        <v>72</v>
      </c>
      <c r="AD85" t="n">
        <v>800</v>
      </c>
    </row>
    <row r="86">
      <c r="A86" t="inlineStr">
        <is>
          <t>green-H2-systems</t>
        </is>
      </c>
      <c r="B86" t="inlineStr">
        <is>
          <t>green_x000D_Electrolyzer_x000D_gEL1000</t>
        </is>
      </c>
      <c r="C86" t="inlineStr">
        <is>
          <t>PEM</t>
        </is>
      </c>
      <c r="D86" t="n">
        <v>500</v>
      </c>
      <c r="E86" t="n">
        <v>5000</v>
      </c>
      <c r="F86" t="n">
        <v>5000</v>
      </c>
      <c r="G86" t="n">
        <v>400</v>
      </c>
      <c r="H86" t="inlineStr">
        <is>
          <t>AC</t>
        </is>
      </c>
      <c r="I86" s="17" t="n">
        <v>0.08</v>
      </c>
      <c r="J86" t="n">
        <v>1</v>
      </c>
      <c r="K86" t="inlineStr">
        <is>
          <t>Yes</t>
        </is>
      </c>
      <c r="L86" t="n">
        <v>8600</v>
      </c>
      <c r="M86" t="n">
        <v>-20</v>
      </c>
      <c r="N86" t="n">
        <v>35</v>
      </c>
      <c r="O86" t="n">
        <v>4.5</v>
      </c>
      <c r="P86" s="18">
        <f>((1000*O86)/0.08924)/1000</f>
        <v/>
      </c>
      <c r="Q86" s="18" t="n"/>
      <c r="R86" s="19" t="n"/>
      <c r="T86" t="n">
        <v>66.7</v>
      </c>
      <c r="Y86" t="n">
        <v>80000</v>
      </c>
      <c r="AA86" t="n">
        <v>5</v>
      </c>
      <c r="AB86" t="n">
        <v>35</v>
      </c>
      <c r="AC86" t="n">
        <v>90</v>
      </c>
      <c r="AD86" t="n">
        <v>1000</v>
      </c>
      <c r="AE86" t="inlineStr">
        <is>
          <t>Yes</t>
        </is>
      </c>
    </row>
    <row r="87">
      <c r="A87" t="inlineStr">
        <is>
          <t>elogen</t>
        </is>
      </c>
      <c r="B87" t="inlineStr">
        <is>
          <t>E1000</t>
        </is>
      </c>
      <c r="C87" t="inlineStr">
        <is>
          <t>PEM</t>
        </is>
      </c>
      <c r="D87" t="n">
        <v>250</v>
      </c>
      <c r="E87" t="n">
        <v>5000</v>
      </c>
      <c r="F87" t="n">
        <v>5000</v>
      </c>
      <c r="G87" t="n">
        <v>400</v>
      </c>
      <c r="H87" t="inlineStr">
        <is>
          <t>AC/_x000D_DC</t>
        </is>
      </c>
      <c r="I87" s="17" t="n">
        <v>0.018</v>
      </c>
      <c r="J87" t="n">
        <v>30</v>
      </c>
      <c r="K87" t="inlineStr">
        <is>
          <t>Yes</t>
        </is>
      </c>
      <c r="L87" t="n">
        <v>8322</v>
      </c>
      <c r="M87" t="n">
        <v>-20</v>
      </c>
      <c r="N87" t="n">
        <v>40</v>
      </c>
      <c r="O87" t="n">
        <v>4.4</v>
      </c>
      <c r="P87" s="18">
        <f>((1000*O87)/0.08924)/1000</f>
        <v/>
      </c>
      <c r="Q87" s="18" t="n"/>
      <c r="R87" s="19" t="n"/>
      <c r="S87" t="n">
        <v>60</v>
      </c>
      <c r="X87" t="n">
        <v>0.1</v>
      </c>
      <c r="AA87" t="n">
        <v>3.5</v>
      </c>
      <c r="AC87" t="n">
        <v>90</v>
      </c>
      <c r="AD87" t="n">
        <v>1</v>
      </c>
      <c r="AE87" t="inlineStr">
        <is>
          <t>Optional</t>
        </is>
      </c>
      <c r="AF87" t="n">
        <v>5</v>
      </c>
      <c r="AG87" t="n">
        <v>30</v>
      </c>
    </row>
    <row r="88">
      <c r="A88" t="inlineStr">
        <is>
          <t>PlugPower Inc.</t>
        </is>
      </c>
      <c r="B88" t="inlineStr">
        <is>
          <t>5MW_x000D_ELECTROLYZER</t>
        </is>
      </c>
      <c r="C88" t="inlineStr">
        <is>
          <t>PEM</t>
        </is>
      </c>
      <c r="F88" t="n">
        <v>5000</v>
      </c>
      <c r="H88" t="inlineStr">
        <is>
          <t>AC</t>
        </is>
      </c>
      <c r="I88" s="17" t="n">
        <v>0.024</v>
      </c>
      <c r="J88" t="n">
        <v>30</v>
      </c>
      <c r="M88" t="n">
        <v>-20</v>
      </c>
      <c r="N88" t="n">
        <v>40</v>
      </c>
      <c r="R88" s="19" t="n"/>
      <c r="AA88" t="n">
        <v>5</v>
      </c>
      <c r="AB88" t="n">
        <v>40</v>
      </c>
      <c r="AC88" t="n">
        <v>90</v>
      </c>
      <c r="AD88" t="n">
        <v>1000</v>
      </c>
    </row>
    <row r="89">
      <c r="A89" t="inlineStr">
        <is>
          <t>Hydrogenics_x000D_(Cummins Inc.)*</t>
        </is>
      </c>
      <c r="B89" t="inlineStr">
        <is>
          <t>HyLyzer 1000</t>
        </is>
      </c>
      <c r="C89" t="inlineStr">
        <is>
          <t>PEM</t>
        </is>
      </c>
      <c r="D89" t="n">
        <v>215</v>
      </c>
      <c r="E89" t="n">
        <v>4300</v>
      </c>
      <c r="F89" t="n">
        <v>5375</v>
      </c>
      <c r="H89" t="inlineStr">
        <is>
          <t>AC</t>
        </is>
      </c>
      <c r="I89" s="17" t="n"/>
      <c r="K89" t="inlineStr">
        <is>
          <t>Yes</t>
        </is>
      </c>
      <c r="M89" t="n">
        <v>5</v>
      </c>
      <c r="N89" t="n">
        <v>40</v>
      </c>
      <c r="O89" t="n">
        <v>4.3</v>
      </c>
      <c r="P89" s="18">
        <f>((1000*O89)/0.08924)/1000</f>
        <v/>
      </c>
      <c r="Q89" s="18" t="n"/>
      <c r="R89" s="19" t="n"/>
      <c r="T89" t="n">
        <v>69.8</v>
      </c>
      <c r="AA89" t="n">
        <v>4</v>
      </c>
      <c r="AB89" t="n">
        <v>30</v>
      </c>
      <c r="AC89" t="n">
        <v>90</v>
      </c>
      <c r="AD89" t="n">
        <v>1000</v>
      </c>
      <c r="AE89" t="inlineStr">
        <is>
          <t>Optional</t>
        </is>
      </c>
    </row>
    <row r="90">
      <c r="A90" t="inlineStr">
        <is>
          <t>Bloom</t>
        </is>
      </c>
      <c r="B90" t="inlineStr">
        <is>
          <t>Electrolyzer + steam</t>
        </is>
      </c>
      <c r="C90" t="inlineStr">
        <is>
          <t>SOEC + steam</t>
        </is>
      </c>
      <c r="F90" t="n">
        <v>10000</v>
      </c>
      <c r="G90" t="n">
        <v>800</v>
      </c>
      <c r="H90" t="inlineStr">
        <is>
          <t>DC</t>
        </is>
      </c>
      <c r="I90" s="17" t="n">
        <v>0</v>
      </c>
      <c r="M90" t="n">
        <v>-20</v>
      </c>
      <c r="N90" t="n">
        <v>45</v>
      </c>
      <c r="P90" t="n">
        <v>38.7</v>
      </c>
      <c r="Q90">
        <f>4.7*3.6</f>
        <v/>
      </c>
      <c r="R90" s="19" t="n"/>
      <c r="T90" s="20">
        <f>(120/(P90*3.6))*100</f>
        <v/>
      </c>
      <c r="Y90">
        <f>8760*5</f>
        <v/>
      </c>
      <c r="AB90" t="n">
        <v>1.004</v>
      </c>
      <c r="AC90" t="n">
        <v>259</v>
      </c>
    </row>
    <row r="91">
      <c r="A91" t="inlineStr">
        <is>
          <t>Bloom</t>
        </is>
      </c>
      <c r="B91" t="inlineStr">
        <is>
          <t>Electrolyzer</t>
        </is>
      </c>
      <c r="C91" t="inlineStr">
        <is>
          <t>SOEC</t>
        </is>
      </c>
      <c r="F91" t="n">
        <v>10000</v>
      </c>
      <c r="G91" t="n">
        <v>800</v>
      </c>
      <c r="H91" t="inlineStr">
        <is>
          <t>DC</t>
        </is>
      </c>
      <c r="I91" s="17" t="n">
        <v>0</v>
      </c>
      <c r="M91" t="n">
        <v>-20</v>
      </c>
      <c r="N91" t="n">
        <v>45</v>
      </c>
      <c r="P91" t="n">
        <v>48.8</v>
      </c>
      <c r="R91" s="19" t="n"/>
      <c r="T91" s="20">
        <f>(120/(P91*3.6))*100</f>
        <v/>
      </c>
      <c r="AB91" t="n">
        <v>1.004</v>
      </c>
      <c r="AC91" t="n">
        <v>259</v>
      </c>
    </row>
    <row r="92">
      <c r="A92" t="inlineStr">
        <is>
          <t>elogen</t>
        </is>
      </c>
      <c r="B92" t="inlineStr">
        <is>
          <t>E2000</t>
        </is>
      </c>
      <c r="C92" t="inlineStr">
        <is>
          <t>PEM</t>
        </is>
      </c>
      <c r="D92" t="n">
        <v>500</v>
      </c>
      <c r="E92" t="n">
        <v>10000</v>
      </c>
      <c r="F92" t="n">
        <v>10000</v>
      </c>
      <c r="G92" t="n">
        <v>400</v>
      </c>
      <c r="H92" t="inlineStr">
        <is>
          <t>AC/_x000D_DC</t>
        </is>
      </c>
      <c r="I92" s="17" t="n">
        <v>0.018</v>
      </c>
      <c r="J92" t="n">
        <v>30</v>
      </c>
      <c r="K92" t="inlineStr">
        <is>
          <t>Yes</t>
        </is>
      </c>
      <c r="L92" t="n">
        <v>8322</v>
      </c>
      <c r="M92" t="n">
        <v>-20</v>
      </c>
      <c r="N92" t="n">
        <v>40</v>
      </c>
      <c r="O92" t="n">
        <v>4.8</v>
      </c>
      <c r="P92" s="18">
        <f>((1000*O92)/0.08924)/1000</f>
        <v/>
      </c>
      <c r="Q92" s="18" t="n"/>
      <c r="R92" s="19" t="n"/>
      <c r="S92" t="n">
        <v>60</v>
      </c>
      <c r="X92" t="n">
        <v>0.1</v>
      </c>
      <c r="AA92" t="n">
        <v>3.5</v>
      </c>
      <c r="AC92" t="n">
        <v>180</v>
      </c>
      <c r="AD92" t="n">
        <v>2</v>
      </c>
      <c r="AE92" t="inlineStr">
        <is>
          <t>Optional</t>
        </is>
      </c>
      <c r="AF92" t="n">
        <v>5</v>
      </c>
      <c r="AG92" t="n">
        <v>30</v>
      </c>
    </row>
    <row r="93">
      <c r="A93" t="inlineStr">
        <is>
          <t>ITMPower</t>
        </is>
      </c>
      <c r="B93" t="inlineStr">
        <is>
          <t>HGASXMW</t>
        </is>
      </c>
      <c r="C93" t="inlineStr">
        <is>
          <t>PEM</t>
        </is>
      </c>
      <c r="F93" t="n">
        <v>10070</v>
      </c>
      <c r="G93" t="n">
        <v>11000</v>
      </c>
      <c r="H93" t="inlineStr">
        <is>
          <t>AC</t>
        </is>
      </c>
      <c r="I93" s="17" t="n"/>
      <c r="K93" t="inlineStr">
        <is>
          <t>Optional</t>
        </is>
      </c>
      <c r="R93" s="19" t="n"/>
      <c r="AA93" t="n">
        <v>5</v>
      </c>
      <c r="AB93" t="n">
        <v>20</v>
      </c>
      <c r="AC93" t="n">
        <v>168.75</v>
      </c>
      <c r="AD93" t="n">
        <v>1875</v>
      </c>
      <c r="AE93" t="inlineStr">
        <is>
          <t>Optional</t>
        </is>
      </c>
    </row>
    <row r="94">
      <c r="A94" t="inlineStr">
        <is>
          <t>Sunfire GmbH*</t>
        </is>
      </c>
      <c r="B94" t="inlineStr">
        <is>
          <t>Sunfire-HyLink_x000D_Alkaline</t>
        </is>
      </c>
      <c r="C94" t="inlineStr">
        <is>
          <t>AEC</t>
        </is>
      </c>
      <c r="D94" t="n">
        <v>4192</v>
      </c>
      <c r="F94" t="n">
        <v>10481</v>
      </c>
      <c r="H94" t="inlineStr">
        <is>
          <t>AC</t>
        </is>
      </c>
      <c r="I94" s="17" t="n">
        <v>0.04293483446236046</v>
      </c>
      <c r="M94" t="n">
        <v>5</v>
      </c>
      <c r="N94" t="n">
        <v>40</v>
      </c>
      <c r="O94" t="n">
        <v>4.7</v>
      </c>
      <c r="P94" s="18">
        <f>((1000*O94)/0.08924)/1000</f>
        <v/>
      </c>
      <c r="Q94" s="18" t="n"/>
      <c r="R94" s="19" t="n"/>
      <c r="T94" t="n">
        <v>63.8</v>
      </c>
      <c r="W94" t="n">
        <v>85</v>
      </c>
      <c r="Y94" t="n">
        <v>90000</v>
      </c>
      <c r="AA94" t="n">
        <v>2.6</v>
      </c>
      <c r="AB94" t="n">
        <v>30</v>
      </c>
      <c r="AC94" t="n">
        <v>200.7</v>
      </c>
      <c r="AD94" t="n">
        <v>2230</v>
      </c>
    </row>
    <row r="95">
      <c r="A95" t="inlineStr">
        <is>
          <t>elogen</t>
        </is>
      </c>
      <c r="B95" t="inlineStr">
        <is>
          <t>E3000</t>
        </is>
      </c>
      <c r="C95" t="inlineStr">
        <is>
          <t>PEM</t>
        </is>
      </c>
      <c r="D95" t="n">
        <v>750</v>
      </c>
      <c r="E95" t="n">
        <v>15000</v>
      </c>
      <c r="F95" t="n">
        <v>15000</v>
      </c>
      <c r="G95" t="n">
        <v>400</v>
      </c>
      <c r="H95" t="inlineStr">
        <is>
          <t>AC/_x000D_DC</t>
        </is>
      </c>
      <c r="I95" s="17" t="n">
        <v>0.018</v>
      </c>
      <c r="J95" t="n">
        <v>30</v>
      </c>
      <c r="K95" t="inlineStr">
        <is>
          <t>Yes</t>
        </is>
      </c>
      <c r="L95" t="n">
        <v>8322</v>
      </c>
      <c r="M95" t="n">
        <v>-20</v>
      </c>
      <c r="N95" t="n">
        <v>40</v>
      </c>
      <c r="O95" t="n">
        <v>4.8</v>
      </c>
      <c r="P95" s="18">
        <f>((1000*O95)/0.08924)/1000</f>
        <v/>
      </c>
      <c r="Q95" s="18" t="n"/>
      <c r="R95" s="19" t="n"/>
      <c r="S95" t="n">
        <v>60</v>
      </c>
      <c r="X95" t="n">
        <v>0.1</v>
      </c>
      <c r="AA95" t="n">
        <v>3.5</v>
      </c>
      <c r="AC95" t="n">
        <v>270</v>
      </c>
      <c r="AD95" t="n">
        <v>3</v>
      </c>
      <c r="AE95" t="inlineStr">
        <is>
          <t>Optional</t>
        </is>
      </c>
      <c r="AF95" t="n">
        <v>5</v>
      </c>
      <c r="AG95" t="n">
        <v>30</v>
      </c>
    </row>
    <row r="96">
      <c r="A96" t="inlineStr">
        <is>
          <t>thyssenkrupp Uhde_x000D_Chlorine Engineers*</t>
        </is>
      </c>
      <c r="B96" t="inlineStr">
        <is>
          <t>20 MW module</t>
        </is>
      </c>
      <c r="C96" t="inlineStr">
        <is>
          <t>AEC</t>
        </is>
      </c>
      <c r="D96" t="n">
        <v>1800</v>
      </c>
      <c r="F96" t="n">
        <v>18000</v>
      </c>
      <c r="H96" t="inlineStr">
        <is>
          <t>DC</t>
        </is>
      </c>
      <c r="I96" s="17" t="n">
        <v>0</v>
      </c>
      <c r="O96" t="n">
        <v>4.5</v>
      </c>
      <c r="P96" s="18">
        <f>((1000*O96)/0.08924)/1000</f>
        <v/>
      </c>
      <c r="Q96" s="18" t="n"/>
      <c r="R96" s="19" t="n"/>
      <c r="T96" t="n">
        <v>66.7</v>
      </c>
      <c r="W96" t="n">
        <v>90</v>
      </c>
      <c r="AA96" t="n">
        <v>3</v>
      </c>
      <c r="AB96" t="n">
        <v>0</v>
      </c>
      <c r="AC96" t="n">
        <v>360</v>
      </c>
      <c r="AD96" t="n">
        <v>4000</v>
      </c>
      <c r="AE96" t="inlineStr">
        <is>
          <t>Optional</t>
        </is>
      </c>
    </row>
    <row r="97">
      <c r="A97" t="inlineStr">
        <is>
          <t>elogen</t>
        </is>
      </c>
      <c r="B97" t="inlineStr">
        <is>
          <t>E4000</t>
        </is>
      </c>
      <c r="C97" t="inlineStr">
        <is>
          <t>PEM</t>
        </is>
      </c>
      <c r="D97" t="n">
        <v>1000</v>
      </c>
      <c r="E97" t="n">
        <v>20000</v>
      </c>
      <c r="F97" t="n">
        <v>20000</v>
      </c>
      <c r="G97" t="n">
        <v>400</v>
      </c>
      <c r="H97" t="inlineStr">
        <is>
          <t>AC/_x000D_DC</t>
        </is>
      </c>
      <c r="I97" s="17" t="n">
        <v>0.018</v>
      </c>
      <c r="J97" t="n">
        <v>30</v>
      </c>
      <c r="K97" t="inlineStr">
        <is>
          <t>Yes</t>
        </is>
      </c>
      <c r="L97" t="n">
        <v>8322</v>
      </c>
      <c r="M97" t="n">
        <v>-20</v>
      </c>
      <c r="N97" t="n">
        <v>40</v>
      </c>
      <c r="O97" t="n">
        <v>4.8</v>
      </c>
      <c r="P97" s="18">
        <f>((1000*O97)/0.08924)/1000</f>
        <v/>
      </c>
      <c r="Q97" s="18" t="n"/>
      <c r="R97" s="19" t="n"/>
      <c r="S97" t="n">
        <v>60</v>
      </c>
      <c r="X97" t="n">
        <v>0.1</v>
      </c>
      <c r="AA97" t="n">
        <v>3.5</v>
      </c>
      <c r="AC97" t="n">
        <v>360</v>
      </c>
      <c r="AD97" t="n">
        <v>4</v>
      </c>
      <c r="AE97" t="inlineStr">
        <is>
          <t>Optional</t>
        </is>
      </c>
      <c r="AF97" t="n">
        <v>5</v>
      </c>
      <c r="AG97" t="n">
        <v>30</v>
      </c>
    </row>
    <row r="98">
      <c r="A98" t="inlineStr">
        <is>
          <t>elogen</t>
        </is>
      </c>
      <c r="B98" t="inlineStr">
        <is>
          <t>Indoor</t>
        </is>
      </c>
      <c r="C98" t="inlineStr">
        <is>
          <t>PEM</t>
        </is>
      </c>
      <c r="G98" t="n">
        <v>400</v>
      </c>
      <c r="H98" t="inlineStr">
        <is>
          <t>AC/_x000D_DC</t>
        </is>
      </c>
      <c r="I98" s="17" t="n"/>
      <c r="J98" t="n">
        <v>30</v>
      </c>
      <c r="K98" t="inlineStr">
        <is>
          <t>Yes</t>
        </is>
      </c>
      <c r="L98" t="n">
        <v>8322</v>
      </c>
      <c r="M98" t="n">
        <v>-20</v>
      </c>
      <c r="N98" t="n">
        <v>40</v>
      </c>
      <c r="R98" s="19" t="n"/>
      <c r="S98" t="n">
        <v>60</v>
      </c>
      <c r="X98" t="n">
        <v>0.1</v>
      </c>
      <c r="AA98" t="n">
        <v>3.5</v>
      </c>
      <c r="AE98" t="inlineStr">
        <is>
          <t>Optional</t>
        </is>
      </c>
      <c r="AF98" t="n">
        <v>5</v>
      </c>
      <c r="AG98" t="n">
        <v>30</v>
      </c>
    </row>
    <row r="99">
      <c r="A99" t="inlineStr">
        <is>
          <t>PlugPower Inc.</t>
        </is>
      </c>
      <c r="B99" t="inlineStr">
        <is>
          <t>ALLAGASH ELECTROLYZER STACK 50</t>
        </is>
      </c>
      <c r="C99" t="inlineStr">
        <is>
          <t>PEM</t>
        </is>
      </c>
      <c r="G99" t="n">
        <v>64</v>
      </c>
      <c r="I99" s="17" t="n"/>
      <c r="R99" s="19" t="n"/>
      <c r="V99" t="n">
        <v>5</v>
      </c>
      <c r="W99" t="n">
        <v>70</v>
      </c>
      <c r="Y99" t="n">
        <v>80000</v>
      </c>
      <c r="AC99" t="n">
        <v>4.5</v>
      </c>
      <c r="AD99" t="n">
        <v>50</v>
      </c>
    </row>
    <row r="100">
      <c r="A100" t="inlineStr">
        <is>
          <t>PlugPower Inc.</t>
        </is>
      </c>
      <c r="B100" t="inlineStr">
        <is>
          <t>ALLAGASH ELECTROLYZER STACK 200</t>
        </is>
      </c>
      <c r="C100" t="inlineStr">
        <is>
          <t>PEM</t>
        </is>
      </c>
      <c r="G100" t="n">
        <v>260</v>
      </c>
      <c r="I100" s="17" t="n"/>
      <c r="R100" s="19" t="n"/>
      <c r="V100" t="n">
        <v>5</v>
      </c>
      <c r="W100" t="n">
        <v>70</v>
      </c>
      <c r="Y100" t="n">
        <v>80000</v>
      </c>
      <c r="AC100" t="n">
        <v>18</v>
      </c>
      <c r="AD100" t="n">
        <v>200</v>
      </c>
    </row>
    <row r="101">
      <c r="A101" t="inlineStr">
        <is>
          <t>PlugPower Inc.</t>
        </is>
      </c>
      <c r="B101" t="inlineStr">
        <is>
          <t>MERRIMACK ELECTROLYZER STACK 10</t>
        </is>
      </c>
      <c r="C101" t="inlineStr">
        <is>
          <t>PEM</t>
        </is>
      </c>
      <c r="G101" t="n">
        <v>54</v>
      </c>
      <c r="I101" s="17" t="n"/>
      <c r="M101" t="n">
        <v>5</v>
      </c>
      <c r="N101" t="n">
        <v>70</v>
      </c>
      <c r="R101" s="19" t="n"/>
      <c r="Y101" t="n">
        <v>80000</v>
      </c>
      <c r="AC101" t="n">
        <v>0.9</v>
      </c>
      <c r="AD101" t="n">
        <v>10</v>
      </c>
    </row>
    <row r="102">
      <c r="A102" t="inlineStr">
        <is>
          <t>PlugPower Inc.</t>
        </is>
      </c>
      <c r="B102" t="inlineStr">
        <is>
          <t>MERRIMACK ELECTROLYZER STACK 30</t>
        </is>
      </c>
      <c r="C102" t="inlineStr">
        <is>
          <t>PEM</t>
        </is>
      </c>
      <c r="G102" t="n">
        <v>163</v>
      </c>
      <c r="I102" s="17" t="n"/>
      <c r="M102" t="n">
        <v>5</v>
      </c>
      <c r="N102" t="n">
        <v>70</v>
      </c>
      <c r="R102" s="19" t="n"/>
      <c r="Y102" t="n">
        <v>80000</v>
      </c>
      <c r="AC102" t="n">
        <v>2.7</v>
      </c>
      <c r="AD102" t="n">
        <v>30</v>
      </c>
    </row>
    <row r="103">
      <c r="A103" t="inlineStr">
        <is>
          <t>Siemens Energy</t>
        </is>
      </c>
      <c r="B103" t="inlineStr">
        <is>
          <t>Silyzer 300 Minimalbeispiel</t>
        </is>
      </c>
      <c r="C103" t="inlineStr">
        <is>
          <t>PEM</t>
        </is>
      </c>
      <c r="I103" s="17" t="n"/>
      <c r="J103" t="n">
        <v>10</v>
      </c>
      <c r="R103" s="19" t="n"/>
      <c r="AA103" t="n">
        <v>5</v>
      </c>
      <c r="AC103" t="n">
        <v>100</v>
      </c>
      <c r="AD103" t="n">
        <v>1111</v>
      </c>
    </row>
    <row r="104">
      <c r="A104" t="inlineStr">
        <is>
          <t>Siemens Energy</t>
        </is>
      </c>
      <c r="B104" t="inlineStr">
        <is>
          <t>Silyzer 300 Maximalbeispiel</t>
        </is>
      </c>
      <c r="C104" t="inlineStr">
        <is>
          <t>PEM</t>
        </is>
      </c>
      <c r="I104" s="17" t="n"/>
      <c r="J104" t="n">
        <v>10</v>
      </c>
      <c r="R104" s="19" t="n"/>
      <c r="AA104" t="n">
        <v>5</v>
      </c>
      <c r="AC104" t="n">
        <v>2000</v>
      </c>
      <c r="AD104" t="n">
        <v>22222</v>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Terlouw Tom Mike</dc:creator>
  <dcterms:created xmlns:dcterms="http://purl.org/dc/terms/" xmlns:xsi="http://www.w3.org/2001/XMLSchema-instance" xsi:type="dcterms:W3CDTF">2020-12-17T11:52:00Z</dcterms:created>
  <dcterms:modified xmlns:dcterms="http://purl.org/dc/terms/" xmlns:xsi="http://www.w3.org/2001/XMLSchema-instance" xsi:type="dcterms:W3CDTF">2026-04-06T10:07:42Z</dcterms:modified>
  <cp:lastModifiedBy>Treyer Karin</cp:lastModifiedBy>
</cp:coreProperties>
</file>